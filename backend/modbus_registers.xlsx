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 codeName="{00000000-0000-0000-0000-000000000000}"/>
  <workbookPr codeName="ThisWorkbook"/>
  <mc:AlternateContent xmlns:mc="http://schemas.openxmlformats.org/markup-compatibility/2006">
    <mc:Choice Requires="x15">
      <x15ac:absPath xmlns:x15ac="http://schemas.microsoft.com/office/spreadsheetml/2010/11/ac" url="C:\My Documents\Sidhartha Projects\ONGC Motwan\"/>
    </mc:Choice>
  </mc:AlternateContent>
  <xr:revisionPtr revIDLastSave="0" documentId="8_{08DEE2F5-07EF-E24C-A8E8-2F3557035DBD}" xr6:coauthVersionLast="47" xr6:coauthVersionMax="47" xr10:uidLastSave="{00000000-0000-0000-0000-000000000000}"/>
  <bookViews>
    <workbookView xWindow="0" yWindow="0" windowWidth="20490" windowHeight="7155" activeTab="2" xr2:uid="{00000000-000D-0000-FFFF-FFFF00000000}"/>
  </bookViews>
  <sheets>
    <sheet name="TB_IO" sheetId="1" r:id="rId1"/>
    <sheet name="16 bit registers" sheetId="2" r:id="rId2"/>
    <sheet name="32 bit registers" sheetId="3" r:id="rId3"/>
  </sheets>
  <definedNames>
    <definedName name="_xlnm.Print_Area" localSheetId="2">'32 bit registers'!$A$1:$F$828</definedName>
    <definedName name="_xlnm.Print_Area" localSheetId="0">TB_IO!$A$1:$N$265</definedName>
    <definedName name="TB_NO">TB_IO!$AK$1:$AK$4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2" l="1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46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14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82" i="2"/>
  <c r="E399" i="2"/>
  <c r="E398" i="2"/>
  <c r="E397" i="2"/>
  <c r="E396" i="2"/>
  <c r="E395" i="2"/>
  <c r="E394" i="2"/>
  <c r="E393" i="2"/>
  <c r="E392" i="2"/>
  <c r="E391" i="2"/>
  <c r="E390" i="2"/>
  <c r="E184" i="2"/>
  <c r="E185" i="2"/>
  <c r="E183" i="2"/>
  <c r="E182" i="2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639" i="3"/>
  <c r="A640" i="3"/>
  <c r="A637" i="3"/>
  <c r="A638" i="3"/>
  <c r="E132" i="3"/>
  <c r="E637" i="3"/>
  <c r="F132" i="3"/>
  <c r="F637" i="3"/>
  <c r="E134" i="3"/>
  <c r="E639" i="3"/>
  <c r="F134" i="3"/>
  <c r="F639" i="3"/>
  <c r="E136" i="3"/>
  <c r="E641" i="3"/>
  <c r="F136" i="3"/>
  <c r="F641" i="3"/>
  <c r="E138" i="3"/>
  <c r="E643" i="3"/>
  <c r="F138" i="3"/>
  <c r="F643" i="3"/>
  <c r="E140" i="3"/>
  <c r="E645" i="3"/>
  <c r="F140" i="3"/>
  <c r="F645" i="3"/>
  <c r="E142" i="3"/>
  <c r="E647" i="3"/>
  <c r="F142" i="3"/>
  <c r="F647" i="3"/>
  <c r="E144" i="3"/>
  <c r="E649" i="3"/>
  <c r="F144" i="3"/>
  <c r="F649" i="3"/>
  <c r="E146" i="3"/>
  <c r="E651" i="3"/>
  <c r="F146" i="3"/>
  <c r="F651" i="3"/>
  <c r="E148" i="3"/>
  <c r="E653" i="3"/>
  <c r="F148" i="3"/>
  <c r="F653" i="3"/>
  <c r="E150" i="3"/>
  <c r="E655" i="3"/>
  <c r="F150" i="3"/>
  <c r="F655" i="3"/>
  <c r="E152" i="3"/>
  <c r="E657" i="3"/>
  <c r="F152" i="3"/>
  <c r="F657" i="3"/>
  <c r="E154" i="3"/>
  <c r="E659" i="3"/>
  <c r="F154" i="3"/>
  <c r="F659" i="3"/>
  <c r="E156" i="3"/>
  <c r="E661" i="3"/>
  <c r="F156" i="3"/>
  <c r="F661" i="3"/>
  <c r="E158" i="3"/>
  <c r="E663" i="3"/>
  <c r="F158" i="3"/>
  <c r="F663" i="3"/>
  <c r="E160" i="3"/>
  <c r="E665" i="3"/>
  <c r="F160" i="3"/>
  <c r="F665" i="3"/>
  <c r="E162" i="3"/>
  <c r="E667" i="3"/>
  <c r="F162" i="3"/>
  <c r="F667" i="3"/>
  <c r="E164" i="3"/>
  <c r="E669" i="3"/>
  <c r="F164" i="3"/>
  <c r="F669" i="3"/>
  <c r="E166" i="3"/>
  <c r="E671" i="3"/>
  <c r="F166" i="3"/>
  <c r="F671" i="3"/>
  <c r="E168" i="3"/>
  <c r="E673" i="3"/>
  <c r="F168" i="3"/>
  <c r="F673" i="3"/>
  <c r="E170" i="3"/>
  <c r="E675" i="3"/>
  <c r="F170" i="3"/>
  <c r="F675" i="3"/>
  <c r="E172" i="3"/>
  <c r="E677" i="3"/>
  <c r="F172" i="3"/>
  <c r="F677" i="3"/>
  <c r="E174" i="3"/>
  <c r="E679" i="3"/>
  <c r="F174" i="3"/>
  <c r="F679" i="3"/>
  <c r="E176" i="3"/>
  <c r="E681" i="3"/>
  <c r="F176" i="3"/>
  <c r="F681" i="3"/>
  <c r="E178" i="3"/>
  <c r="E683" i="3"/>
  <c r="F178" i="3"/>
  <c r="F683" i="3"/>
  <c r="E180" i="3"/>
  <c r="E685" i="3"/>
  <c r="F180" i="3"/>
  <c r="F685" i="3"/>
  <c r="E182" i="3"/>
  <c r="E687" i="3"/>
  <c r="F182" i="3"/>
  <c r="F687" i="3"/>
  <c r="E184" i="3"/>
  <c r="E689" i="3"/>
  <c r="F184" i="3"/>
  <c r="F689" i="3"/>
  <c r="E186" i="3"/>
  <c r="E691" i="3"/>
  <c r="F186" i="3"/>
  <c r="F691" i="3"/>
  <c r="E188" i="3"/>
  <c r="E693" i="3"/>
  <c r="F188" i="3"/>
  <c r="F693" i="3"/>
  <c r="E190" i="3"/>
  <c r="E695" i="3"/>
  <c r="F190" i="3"/>
  <c r="F695" i="3"/>
  <c r="E192" i="3"/>
  <c r="E697" i="3"/>
  <c r="F192" i="3"/>
  <c r="F697" i="3"/>
  <c r="E194" i="3"/>
  <c r="E699" i="3"/>
  <c r="F194" i="3"/>
  <c r="F699" i="3"/>
  <c r="E196" i="3"/>
  <c r="E701" i="3"/>
  <c r="F196" i="3"/>
  <c r="F701" i="3"/>
  <c r="E198" i="3"/>
  <c r="E703" i="3"/>
  <c r="F198" i="3"/>
  <c r="F703" i="3"/>
  <c r="E200" i="3"/>
  <c r="E705" i="3"/>
  <c r="F200" i="3"/>
  <c r="F705" i="3"/>
  <c r="E202" i="3"/>
  <c r="E707" i="3"/>
  <c r="F202" i="3"/>
  <c r="F707" i="3"/>
  <c r="E204" i="3"/>
  <c r="E709" i="3"/>
  <c r="F204" i="3"/>
  <c r="F709" i="3"/>
  <c r="E206" i="3"/>
  <c r="E711" i="3"/>
  <c r="F206" i="3"/>
  <c r="F711" i="3"/>
  <c r="E208" i="3"/>
  <c r="E713" i="3"/>
  <c r="F208" i="3"/>
  <c r="F713" i="3"/>
  <c r="E210" i="3"/>
  <c r="E715" i="3"/>
  <c r="F210" i="3"/>
  <c r="F715" i="3"/>
  <c r="E212" i="3"/>
  <c r="E717" i="3"/>
  <c r="F212" i="3"/>
  <c r="F717" i="3"/>
  <c r="E214" i="3"/>
  <c r="E719" i="3"/>
  <c r="F214" i="3"/>
  <c r="F719" i="3"/>
  <c r="E216" i="3"/>
  <c r="E721" i="3"/>
  <c r="F216" i="3"/>
  <c r="F721" i="3"/>
  <c r="E218" i="3"/>
  <c r="E723" i="3"/>
  <c r="F218" i="3"/>
  <c r="F723" i="3"/>
  <c r="E220" i="3"/>
  <c r="E725" i="3"/>
  <c r="F220" i="3"/>
  <c r="F725" i="3"/>
  <c r="E222" i="3"/>
  <c r="E727" i="3"/>
  <c r="F222" i="3"/>
  <c r="F727" i="3"/>
  <c r="E224" i="3"/>
  <c r="E729" i="3"/>
  <c r="F224" i="3"/>
  <c r="F729" i="3"/>
  <c r="E226" i="3"/>
  <c r="E731" i="3"/>
  <c r="F226" i="3"/>
  <c r="F731" i="3"/>
  <c r="E228" i="3"/>
  <c r="E733" i="3"/>
  <c r="F228" i="3"/>
  <c r="F733" i="3"/>
  <c r="E230" i="3"/>
  <c r="E735" i="3"/>
  <c r="F230" i="3"/>
  <c r="F735" i="3"/>
  <c r="E232" i="3"/>
  <c r="E737" i="3"/>
  <c r="F232" i="3"/>
  <c r="F737" i="3"/>
  <c r="E234" i="3"/>
  <c r="E739" i="3"/>
  <c r="F234" i="3"/>
  <c r="F739" i="3"/>
  <c r="E236" i="3"/>
  <c r="E741" i="3"/>
  <c r="F236" i="3"/>
  <c r="F741" i="3"/>
  <c r="E238" i="3"/>
  <c r="E743" i="3"/>
  <c r="F238" i="3"/>
  <c r="F743" i="3"/>
  <c r="E240" i="3"/>
  <c r="E745" i="3"/>
  <c r="F240" i="3"/>
  <c r="F745" i="3"/>
  <c r="E242" i="3"/>
  <c r="E747" i="3"/>
  <c r="F242" i="3"/>
  <c r="F747" i="3"/>
  <c r="E244" i="3"/>
  <c r="E749" i="3"/>
  <c r="F244" i="3"/>
  <c r="F749" i="3"/>
  <c r="E246" i="3"/>
  <c r="E751" i="3"/>
  <c r="F246" i="3"/>
  <c r="F751" i="3"/>
  <c r="E248" i="3"/>
  <c r="E753" i="3"/>
  <c r="F248" i="3"/>
  <c r="F753" i="3"/>
  <c r="E250" i="3"/>
  <c r="E755" i="3"/>
  <c r="F250" i="3"/>
  <c r="F755" i="3"/>
  <c r="E252" i="3"/>
  <c r="E757" i="3"/>
  <c r="F252" i="3"/>
  <c r="F757" i="3"/>
  <c r="E254" i="3"/>
  <c r="E759" i="3"/>
  <c r="F254" i="3"/>
  <c r="F759" i="3"/>
  <c r="E256" i="3"/>
  <c r="E761" i="3"/>
  <c r="F256" i="3"/>
  <c r="F761" i="3"/>
  <c r="E258" i="3"/>
  <c r="E763" i="3"/>
  <c r="F258" i="3"/>
  <c r="F763" i="3"/>
  <c r="E260" i="3"/>
  <c r="E765" i="3"/>
  <c r="F260" i="3"/>
  <c r="F765" i="3"/>
  <c r="E262" i="3"/>
  <c r="E767" i="3"/>
  <c r="F262" i="3"/>
  <c r="F767" i="3"/>
  <c r="E264" i="3"/>
  <c r="E769" i="3"/>
  <c r="F264" i="3"/>
  <c r="F769" i="3"/>
  <c r="E266" i="3"/>
  <c r="E771" i="3"/>
  <c r="F266" i="3"/>
  <c r="F771" i="3"/>
  <c r="E268" i="3"/>
  <c r="E773" i="3"/>
  <c r="F268" i="3"/>
  <c r="F773" i="3"/>
  <c r="E270" i="3"/>
  <c r="E775" i="3"/>
  <c r="F270" i="3"/>
  <c r="F775" i="3"/>
  <c r="E272" i="3"/>
  <c r="E777" i="3"/>
  <c r="F272" i="3"/>
  <c r="F777" i="3"/>
  <c r="E274" i="3"/>
  <c r="E779" i="3"/>
  <c r="F274" i="3"/>
  <c r="F779" i="3"/>
  <c r="E276" i="3"/>
  <c r="E781" i="3"/>
  <c r="F276" i="3"/>
  <c r="F781" i="3"/>
  <c r="E278" i="3"/>
  <c r="E783" i="3"/>
  <c r="F278" i="3"/>
  <c r="F783" i="3"/>
  <c r="E280" i="3"/>
  <c r="E785" i="3"/>
  <c r="F280" i="3"/>
  <c r="F785" i="3"/>
  <c r="E282" i="3"/>
  <c r="E787" i="3"/>
  <c r="F282" i="3"/>
  <c r="F787" i="3"/>
  <c r="E284" i="3"/>
  <c r="E789" i="3"/>
  <c r="F284" i="3"/>
  <c r="F789" i="3"/>
  <c r="E286" i="3"/>
  <c r="E791" i="3"/>
  <c r="F286" i="3"/>
  <c r="F791" i="3"/>
  <c r="E288" i="3"/>
  <c r="E793" i="3"/>
  <c r="F288" i="3"/>
  <c r="F793" i="3"/>
  <c r="E290" i="3"/>
  <c r="E795" i="3"/>
  <c r="F290" i="3"/>
  <c r="F795" i="3"/>
  <c r="E292" i="3"/>
  <c r="E797" i="3"/>
  <c r="F292" i="3"/>
  <c r="F797" i="3"/>
  <c r="E294" i="3"/>
  <c r="E799" i="3"/>
  <c r="F294" i="3"/>
  <c r="F799" i="3"/>
  <c r="E296" i="3"/>
  <c r="E801" i="3"/>
  <c r="F296" i="3"/>
  <c r="F801" i="3"/>
  <c r="E298" i="3"/>
  <c r="E803" i="3"/>
  <c r="F298" i="3"/>
  <c r="F803" i="3"/>
  <c r="E300" i="3"/>
  <c r="E805" i="3"/>
  <c r="F300" i="3"/>
  <c r="F805" i="3"/>
  <c r="E302" i="3"/>
  <c r="E807" i="3"/>
  <c r="F302" i="3"/>
  <c r="F807" i="3"/>
  <c r="E304" i="3"/>
  <c r="E809" i="3"/>
  <c r="F304" i="3"/>
  <c r="F809" i="3"/>
  <c r="E306" i="3"/>
  <c r="E811" i="3"/>
  <c r="F306" i="3"/>
  <c r="F811" i="3"/>
  <c r="E308" i="3"/>
  <c r="E813" i="3"/>
  <c r="F308" i="3"/>
  <c r="F813" i="3"/>
  <c r="E310" i="3"/>
  <c r="E815" i="3"/>
  <c r="F310" i="3"/>
  <c r="F815" i="3"/>
  <c r="E312" i="3"/>
  <c r="E817" i="3"/>
  <c r="F312" i="3"/>
  <c r="F817" i="3"/>
  <c r="E314" i="3"/>
  <c r="E819" i="3"/>
  <c r="F314" i="3"/>
  <c r="F819" i="3"/>
  <c r="E316" i="3"/>
  <c r="E821" i="3"/>
  <c r="F316" i="3"/>
  <c r="F821" i="3"/>
  <c r="E318" i="3"/>
  <c r="E823" i="3"/>
  <c r="F318" i="3"/>
  <c r="F823" i="3"/>
  <c r="E320" i="3"/>
  <c r="E825" i="3"/>
  <c r="F320" i="3"/>
  <c r="F825" i="3"/>
  <c r="E322" i="3"/>
  <c r="E827" i="3"/>
  <c r="F322" i="3"/>
  <c r="F827" i="3"/>
  <c r="E4" i="3"/>
  <c r="F4" i="3"/>
  <c r="E6" i="3"/>
  <c r="F6" i="3"/>
  <c r="E8" i="3"/>
  <c r="F8" i="3"/>
  <c r="E10" i="3"/>
  <c r="F10" i="3"/>
  <c r="E12" i="3"/>
  <c r="F12" i="3"/>
  <c r="E14" i="3"/>
  <c r="F14" i="3"/>
  <c r="E16" i="3"/>
  <c r="F16" i="3"/>
  <c r="E18" i="3"/>
  <c r="F18" i="3"/>
  <c r="E20" i="3"/>
  <c r="F20" i="3"/>
  <c r="E22" i="3"/>
  <c r="F22" i="3"/>
  <c r="E24" i="3"/>
  <c r="F24" i="3"/>
  <c r="E26" i="3"/>
  <c r="F26" i="3"/>
  <c r="E28" i="3"/>
  <c r="F28" i="3"/>
  <c r="E30" i="3"/>
  <c r="F30" i="3"/>
  <c r="E32" i="3"/>
  <c r="F32" i="3"/>
  <c r="E34" i="3"/>
  <c r="F34" i="3"/>
  <c r="E36" i="3"/>
  <c r="F36" i="3"/>
  <c r="E38" i="3"/>
  <c r="F38" i="3"/>
  <c r="E40" i="3"/>
  <c r="F40" i="3"/>
  <c r="E42" i="3"/>
  <c r="F42" i="3"/>
  <c r="E44" i="3"/>
  <c r="F44" i="3"/>
  <c r="E46" i="3"/>
  <c r="F46" i="3"/>
  <c r="E48" i="3"/>
  <c r="F48" i="3"/>
  <c r="E50" i="3"/>
  <c r="F50" i="3"/>
  <c r="E52" i="3"/>
  <c r="F52" i="3"/>
  <c r="E54" i="3"/>
  <c r="F54" i="3"/>
  <c r="E56" i="3"/>
  <c r="F56" i="3"/>
  <c r="E58" i="3"/>
  <c r="F58" i="3"/>
  <c r="E60" i="3"/>
  <c r="F60" i="3"/>
  <c r="E62" i="3"/>
  <c r="F62" i="3"/>
  <c r="E64" i="3"/>
  <c r="F64" i="3"/>
  <c r="E66" i="3"/>
  <c r="F66" i="3"/>
  <c r="E68" i="3"/>
  <c r="F68" i="3"/>
  <c r="E70" i="3"/>
  <c r="F70" i="3"/>
  <c r="E72" i="3"/>
  <c r="F72" i="3"/>
  <c r="E74" i="3"/>
  <c r="F74" i="3"/>
  <c r="E76" i="3"/>
  <c r="F76" i="3"/>
  <c r="E78" i="3"/>
  <c r="F78" i="3"/>
  <c r="E80" i="3"/>
  <c r="F80" i="3"/>
  <c r="E82" i="3"/>
  <c r="F82" i="3"/>
  <c r="E84" i="3"/>
  <c r="F84" i="3"/>
  <c r="E86" i="3"/>
  <c r="F86" i="3"/>
  <c r="E88" i="3"/>
  <c r="F88" i="3"/>
  <c r="E90" i="3"/>
  <c r="F90" i="3"/>
  <c r="E92" i="3"/>
  <c r="F92" i="3"/>
  <c r="E94" i="3"/>
  <c r="F94" i="3"/>
  <c r="E96" i="3"/>
  <c r="F96" i="3"/>
  <c r="E98" i="3"/>
  <c r="F98" i="3"/>
  <c r="E100" i="3"/>
  <c r="F100" i="3"/>
  <c r="E102" i="3"/>
  <c r="F102" i="3"/>
  <c r="E104" i="3"/>
  <c r="F104" i="3"/>
  <c r="E106" i="3"/>
  <c r="F106" i="3"/>
  <c r="E108" i="3"/>
  <c r="F108" i="3"/>
  <c r="E110" i="3"/>
  <c r="F110" i="3"/>
  <c r="E112" i="3"/>
  <c r="F112" i="3"/>
  <c r="E114" i="3"/>
  <c r="F114" i="3"/>
  <c r="E116" i="3"/>
  <c r="F116" i="3"/>
  <c r="E118" i="3"/>
  <c r="F118" i="3"/>
  <c r="E120" i="3"/>
  <c r="F120" i="3"/>
  <c r="E122" i="3"/>
  <c r="F122" i="3"/>
  <c r="E124" i="3"/>
  <c r="F124" i="3"/>
  <c r="E126" i="3"/>
  <c r="F126" i="3"/>
  <c r="E128" i="3"/>
  <c r="F128" i="3"/>
  <c r="E130" i="3"/>
  <c r="F130" i="3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D417" i="2"/>
  <c r="D418" i="2"/>
  <c r="D419" i="2"/>
  <c r="D416" i="2"/>
  <c r="D413" i="2"/>
  <c r="D414" i="2"/>
  <c r="D415" i="2"/>
  <c r="D412" i="2"/>
  <c r="D409" i="2"/>
  <c r="D410" i="2"/>
  <c r="D411" i="2"/>
  <c r="D408" i="2"/>
  <c r="D405" i="2"/>
  <c r="D406" i="2"/>
  <c r="D407" i="2"/>
  <c r="D404" i="2"/>
  <c r="D401" i="2"/>
  <c r="D402" i="2"/>
  <c r="D403" i="2"/>
  <c r="D400" i="2"/>
  <c r="D399" i="2"/>
  <c r="D398" i="2"/>
  <c r="D397" i="2"/>
  <c r="D396" i="2"/>
  <c r="D395" i="2"/>
  <c r="D394" i="2"/>
  <c r="D393" i="2"/>
  <c r="D392" i="2"/>
  <c r="D391" i="2"/>
  <c r="D390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58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26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294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58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26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294" i="2"/>
  <c r="E223" i="2"/>
  <c r="E224" i="2"/>
  <c r="E225" i="2"/>
  <c r="E226" i="2"/>
  <c r="E227" i="2"/>
  <c r="E228" i="2"/>
  <c r="E222" i="2"/>
  <c r="E221" i="2"/>
  <c r="D223" i="2"/>
  <c r="D224" i="2"/>
  <c r="D225" i="2"/>
  <c r="D226" i="2"/>
  <c r="D227" i="2"/>
  <c r="D228" i="2"/>
  <c r="D222" i="2"/>
  <c r="D221" i="2"/>
  <c r="C222" i="2"/>
  <c r="C223" i="2"/>
  <c r="C224" i="2"/>
  <c r="C225" i="2"/>
  <c r="C226" i="2"/>
  <c r="C227" i="2"/>
  <c r="C228" i="2"/>
  <c r="E215" i="2"/>
  <c r="E216" i="2"/>
  <c r="E217" i="2"/>
  <c r="E218" i="2"/>
  <c r="E219" i="2"/>
  <c r="E220" i="2"/>
  <c r="E214" i="2"/>
  <c r="E213" i="2"/>
  <c r="D215" i="2"/>
  <c r="D216" i="2"/>
  <c r="D217" i="2"/>
  <c r="D218" i="2"/>
  <c r="D219" i="2"/>
  <c r="D220" i="2"/>
  <c r="D214" i="2"/>
  <c r="D213" i="2"/>
  <c r="C214" i="2"/>
  <c r="C215" i="2"/>
  <c r="C216" i="2"/>
  <c r="C217" i="2"/>
  <c r="C218" i="2"/>
  <c r="C219" i="2"/>
  <c r="C220" i="2"/>
  <c r="E207" i="2"/>
  <c r="E208" i="2"/>
  <c r="E209" i="2"/>
  <c r="E210" i="2"/>
  <c r="E211" i="2"/>
  <c r="E212" i="2"/>
  <c r="E206" i="2"/>
  <c r="E205" i="2"/>
  <c r="D207" i="2"/>
  <c r="D208" i="2"/>
  <c r="D209" i="2"/>
  <c r="D210" i="2"/>
  <c r="D211" i="2"/>
  <c r="D212" i="2"/>
  <c r="D206" i="2"/>
  <c r="D205" i="2"/>
  <c r="C206" i="2"/>
  <c r="C207" i="2"/>
  <c r="C208" i="2"/>
  <c r="C209" i="2"/>
  <c r="C210" i="2"/>
  <c r="C211" i="2"/>
  <c r="C212" i="2"/>
  <c r="D230" i="2"/>
  <c r="C4" i="3"/>
  <c r="E230" i="2"/>
  <c r="D4" i="3"/>
  <c r="A231" i="2"/>
  <c r="A232" i="2"/>
  <c r="A233" i="2"/>
  <c r="A234" i="2"/>
  <c r="D231" i="2"/>
  <c r="C6" i="3"/>
  <c r="E231" i="2"/>
  <c r="D6" i="3"/>
  <c r="D232" i="2"/>
  <c r="C8" i="3"/>
  <c r="E232" i="2"/>
  <c r="D8" i="3"/>
  <c r="D233" i="2"/>
  <c r="C10" i="3"/>
  <c r="E233" i="2"/>
  <c r="D10" i="3"/>
  <c r="D234" i="2"/>
  <c r="C12" i="3"/>
  <c r="E234" i="2"/>
  <c r="D12" i="3"/>
  <c r="E199" i="2"/>
  <c r="E200" i="2"/>
  <c r="E201" i="2"/>
  <c r="E202" i="2"/>
  <c r="E203" i="2"/>
  <c r="E204" i="2"/>
  <c r="E198" i="2"/>
  <c r="E197" i="2"/>
  <c r="E191" i="2"/>
  <c r="E192" i="2"/>
  <c r="E193" i="2"/>
  <c r="E194" i="2"/>
  <c r="E195" i="2"/>
  <c r="E196" i="2"/>
  <c r="E190" i="2"/>
  <c r="E189" i="2"/>
  <c r="D199" i="2"/>
  <c r="D200" i="2"/>
  <c r="D201" i="2"/>
  <c r="D202" i="2"/>
  <c r="D203" i="2"/>
  <c r="D204" i="2"/>
  <c r="D198" i="2"/>
  <c r="D197" i="2"/>
  <c r="D191" i="2"/>
  <c r="D192" i="2"/>
  <c r="D193" i="2"/>
  <c r="D194" i="2"/>
  <c r="D195" i="2"/>
  <c r="D196" i="2"/>
  <c r="D190" i="2"/>
  <c r="D189" i="2"/>
  <c r="D284" i="3"/>
  <c r="D789" i="3"/>
  <c r="D286" i="3"/>
  <c r="D791" i="3"/>
  <c r="D282" i="3"/>
  <c r="D787" i="3"/>
  <c r="D262" i="3"/>
  <c r="D767" i="3"/>
  <c r="D276" i="3"/>
  <c r="D781" i="3"/>
  <c r="D322" i="3"/>
  <c r="D827" i="3"/>
  <c r="D274" i="3"/>
  <c r="D779" i="3"/>
  <c r="D264" i="3"/>
  <c r="D769" i="3"/>
  <c r="D280" i="3"/>
  <c r="D785" i="3"/>
  <c r="D272" i="3"/>
  <c r="D777" i="3"/>
  <c r="D260" i="3"/>
  <c r="D765" i="3"/>
  <c r="D270" i="3"/>
  <c r="D775" i="3"/>
  <c r="D316" i="3"/>
  <c r="D821" i="3"/>
  <c r="D268" i="3"/>
  <c r="D773" i="3"/>
  <c r="D288" i="3"/>
  <c r="D793" i="3"/>
  <c r="D278" i="3"/>
  <c r="D783" i="3"/>
  <c r="D320" i="3"/>
  <c r="D825" i="3"/>
  <c r="D318" i="3"/>
  <c r="D823" i="3"/>
  <c r="D314" i="3"/>
  <c r="D819" i="3"/>
  <c r="D266" i="3"/>
  <c r="D771" i="3"/>
  <c r="D304" i="3"/>
  <c r="D809" i="3"/>
  <c r="D312" i="3"/>
  <c r="D817" i="3"/>
  <c r="D308" i="3"/>
  <c r="D813" i="3"/>
  <c r="D302" i="3"/>
  <c r="D807" i="3"/>
  <c r="D306" i="3"/>
  <c r="D811" i="3"/>
  <c r="D300" i="3"/>
  <c r="D805" i="3"/>
  <c r="D298" i="3"/>
  <c r="D803" i="3"/>
  <c r="D310" i="3"/>
  <c r="D815" i="3"/>
  <c r="D296" i="3"/>
  <c r="D801" i="3"/>
  <c r="D294" i="3"/>
  <c r="D799" i="3"/>
  <c r="D292" i="3"/>
  <c r="D797" i="3"/>
  <c r="D290" i="3"/>
  <c r="D795" i="3"/>
  <c r="D230" i="3"/>
  <c r="D735" i="3"/>
  <c r="D252" i="3"/>
  <c r="D757" i="3"/>
  <c r="D250" i="3"/>
  <c r="D755" i="3"/>
  <c r="D202" i="3"/>
  <c r="D707" i="3"/>
  <c r="D208" i="3"/>
  <c r="D713" i="3"/>
  <c r="D206" i="3"/>
  <c r="D711" i="3"/>
  <c r="D246" i="3"/>
  <c r="D751" i="3"/>
  <c r="D198" i="3"/>
  <c r="D703" i="3"/>
  <c r="D248" i="3"/>
  <c r="D753" i="3"/>
  <c r="D244" i="3"/>
  <c r="D749" i="3"/>
  <c r="D242" i="3"/>
  <c r="D747" i="3"/>
  <c r="D234" i="3"/>
  <c r="D739" i="3"/>
  <c r="D204" i="3"/>
  <c r="D709" i="3"/>
  <c r="D238" i="3"/>
  <c r="D743" i="3"/>
  <c r="D232" i="3"/>
  <c r="D737" i="3"/>
  <c r="D256" i="3"/>
  <c r="D761" i="3"/>
  <c r="D254" i="3"/>
  <c r="D759" i="3"/>
  <c r="D200" i="3"/>
  <c r="D705" i="3"/>
  <c r="D240" i="3"/>
  <c r="D745" i="3"/>
  <c r="D236" i="3"/>
  <c r="D741" i="3"/>
  <c r="D222" i="3"/>
  <c r="D727" i="3"/>
  <c r="D220" i="3"/>
  <c r="D725" i="3"/>
  <c r="D226" i="3"/>
  <c r="D731" i="3"/>
  <c r="D218" i="3"/>
  <c r="D723" i="3"/>
  <c r="D216" i="3"/>
  <c r="D721" i="3"/>
  <c r="D196" i="3"/>
  <c r="D701" i="3"/>
  <c r="D212" i="3"/>
  <c r="D717" i="3"/>
  <c r="D228" i="3"/>
  <c r="D733" i="3"/>
  <c r="D224" i="3"/>
  <c r="D729" i="3"/>
  <c r="D214" i="3"/>
  <c r="D719" i="3"/>
  <c r="D258" i="3"/>
  <c r="D763" i="3"/>
  <c r="D210" i="3"/>
  <c r="D715" i="3"/>
  <c r="D152" i="3"/>
  <c r="D657" i="3"/>
  <c r="D166" i="3"/>
  <c r="D671" i="3"/>
  <c r="D176" i="3"/>
  <c r="D681" i="3"/>
  <c r="D164" i="3"/>
  <c r="D669" i="3"/>
  <c r="D162" i="3"/>
  <c r="D667" i="3"/>
  <c r="D172" i="3"/>
  <c r="D677" i="3"/>
  <c r="D160" i="3"/>
  <c r="D665" i="3"/>
  <c r="D170" i="3"/>
  <c r="D675" i="3"/>
  <c r="D158" i="3"/>
  <c r="D663" i="3"/>
  <c r="D174" i="3"/>
  <c r="D679" i="3"/>
  <c r="D156" i="3"/>
  <c r="D661" i="3"/>
  <c r="D168" i="3"/>
  <c r="D673" i="3"/>
  <c r="D154" i="3"/>
  <c r="D659" i="3"/>
  <c r="D194" i="3"/>
  <c r="D699" i="3"/>
  <c r="D146" i="3"/>
  <c r="D651" i="3"/>
  <c r="D192" i="3"/>
  <c r="D697" i="3"/>
  <c r="D144" i="3"/>
  <c r="D649" i="3"/>
  <c r="D150" i="3"/>
  <c r="D655" i="3"/>
  <c r="D148" i="3"/>
  <c r="D653" i="3"/>
  <c r="D190" i="3"/>
  <c r="D695" i="3"/>
  <c r="D188" i="3"/>
  <c r="D693" i="3"/>
  <c r="D138" i="3"/>
  <c r="D643" i="3"/>
  <c r="D136" i="3"/>
  <c r="D641" i="3"/>
  <c r="D182" i="3"/>
  <c r="D687" i="3"/>
  <c r="D180" i="3"/>
  <c r="D685" i="3"/>
  <c r="D132" i="3"/>
  <c r="D637" i="3"/>
  <c r="D142" i="3"/>
  <c r="D647" i="3"/>
  <c r="D140" i="3"/>
  <c r="D645" i="3"/>
  <c r="D186" i="3"/>
  <c r="D691" i="3"/>
  <c r="D184" i="3"/>
  <c r="D689" i="3"/>
  <c r="D134" i="3"/>
  <c r="D639" i="3"/>
  <c r="D178" i="3"/>
  <c r="D683" i="3"/>
  <c r="C282" i="3"/>
  <c r="C787" i="3"/>
  <c r="C266" i="3"/>
  <c r="C771" i="3"/>
  <c r="C280" i="3"/>
  <c r="C785" i="3"/>
  <c r="C288" i="3"/>
  <c r="C793" i="3"/>
  <c r="C278" i="3"/>
  <c r="C783" i="3"/>
  <c r="C316" i="3"/>
  <c r="C821" i="3"/>
  <c r="C310" i="3"/>
  <c r="C815" i="3"/>
  <c r="C284" i="3"/>
  <c r="C789" i="3"/>
  <c r="C276" i="3"/>
  <c r="C781" i="3"/>
  <c r="C314" i="3"/>
  <c r="C819" i="3"/>
  <c r="C286" i="3"/>
  <c r="C791" i="3"/>
  <c r="C322" i="3"/>
  <c r="C827" i="3"/>
  <c r="C274" i="3"/>
  <c r="C779" i="3"/>
  <c r="C264" i="3"/>
  <c r="C769" i="3"/>
  <c r="C320" i="3"/>
  <c r="C825" i="3"/>
  <c r="C272" i="3"/>
  <c r="C777" i="3"/>
  <c r="C318" i="3"/>
  <c r="C823" i="3"/>
  <c r="C270" i="3"/>
  <c r="C775" i="3"/>
  <c r="C306" i="3"/>
  <c r="C811" i="3"/>
  <c r="C304" i="3"/>
  <c r="C809" i="3"/>
  <c r="C262" i="3"/>
  <c r="C767" i="3"/>
  <c r="C308" i="3"/>
  <c r="C813" i="3"/>
  <c r="C296" i="3"/>
  <c r="C801" i="3"/>
  <c r="C312" i="3"/>
  <c r="C817" i="3"/>
  <c r="C298" i="3"/>
  <c r="C803" i="3"/>
  <c r="C294" i="3"/>
  <c r="C799" i="3"/>
  <c r="C300" i="3"/>
  <c r="C805" i="3"/>
  <c r="C292" i="3"/>
  <c r="C797" i="3"/>
  <c r="C268" i="3"/>
  <c r="C773" i="3"/>
  <c r="C302" i="3"/>
  <c r="C807" i="3"/>
  <c r="C290" i="3"/>
  <c r="C795" i="3"/>
  <c r="C260" i="3"/>
  <c r="C765" i="3"/>
  <c r="C256" i="3"/>
  <c r="C761" i="3"/>
  <c r="C206" i="3"/>
  <c r="C711" i="3"/>
  <c r="C202" i="3"/>
  <c r="C707" i="3"/>
  <c r="C254" i="3"/>
  <c r="C759" i="3"/>
  <c r="C248" i="3"/>
  <c r="C753" i="3"/>
  <c r="C200" i="3"/>
  <c r="C705" i="3"/>
  <c r="C226" i="3"/>
  <c r="C731" i="3"/>
  <c r="C208" i="3"/>
  <c r="C713" i="3"/>
  <c r="C198" i="3"/>
  <c r="C703" i="3"/>
  <c r="C234" i="3"/>
  <c r="C739" i="3"/>
  <c r="C230" i="3"/>
  <c r="C735" i="3"/>
  <c r="C204" i="3"/>
  <c r="C709" i="3"/>
  <c r="C246" i="3"/>
  <c r="C751" i="3"/>
  <c r="C244" i="3"/>
  <c r="C749" i="3"/>
  <c r="C236" i="3"/>
  <c r="C741" i="3"/>
  <c r="C250" i="3"/>
  <c r="C755" i="3"/>
  <c r="C242" i="3"/>
  <c r="C747" i="3"/>
  <c r="C240" i="3"/>
  <c r="C745" i="3"/>
  <c r="C232" i="3"/>
  <c r="C737" i="3"/>
  <c r="C252" i="3"/>
  <c r="C757" i="3"/>
  <c r="C238" i="3"/>
  <c r="C743" i="3"/>
  <c r="C220" i="3"/>
  <c r="C725" i="3"/>
  <c r="C216" i="3"/>
  <c r="C721" i="3"/>
  <c r="C222" i="3"/>
  <c r="C727" i="3"/>
  <c r="C218" i="3"/>
  <c r="C723" i="3"/>
  <c r="C214" i="3"/>
  <c r="C719" i="3"/>
  <c r="C212" i="3"/>
  <c r="C717" i="3"/>
  <c r="C228" i="3"/>
  <c r="C733" i="3"/>
  <c r="C224" i="3"/>
  <c r="C729" i="3"/>
  <c r="C258" i="3"/>
  <c r="C763" i="3"/>
  <c r="C210" i="3"/>
  <c r="C715" i="3"/>
  <c r="C196" i="3"/>
  <c r="C701" i="3"/>
  <c r="C176" i="3"/>
  <c r="C681" i="3"/>
  <c r="C174" i="3"/>
  <c r="C679" i="3"/>
  <c r="C168" i="3"/>
  <c r="C673" i="3"/>
  <c r="C166" i="3"/>
  <c r="C671" i="3"/>
  <c r="C172" i="3"/>
  <c r="C677" i="3"/>
  <c r="C164" i="3"/>
  <c r="C669" i="3"/>
  <c r="C162" i="3"/>
  <c r="C667" i="3"/>
  <c r="C160" i="3"/>
  <c r="C665" i="3"/>
  <c r="C150" i="3"/>
  <c r="C655" i="3"/>
  <c r="C170" i="3"/>
  <c r="C675" i="3"/>
  <c r="C158" i="3"/>
  <c r="C663" i="3"/>
  <c r="C156" i="3"/>
  <c r="C661" i="3"/>
  <c r="C154" i="3"/>
  <c r="C659" i="3"/>
  <c r="C194" i="3"/>
  <c r="C699" i="3"/>
  <c r="C190" i="3"/>
  <c r="C695" i="3"/>
  <c r="C142" i="3"/>
  <c r="C647" i="3"/>
  <c r="C152" i="3"/>
  <c r="C657" i="3"/>
  <c r="C148" i="3"/>
  <c r="C653" i="3"/>
  <c r="C146" i="3"/>
  <c r="C651" i="3"/>
  <c r="C186" i="3"/>
  <c r="C691" i="3"/>
  <c r="C136" i="3"/>
  <c r="C641" i="3"/>
  <c r="C182" i="3"/>
  <c r="C687" i="3"/>
  <c r="C134" i="3"/>
  <c r="C639" i="3"/>
  <c r="C192" i="3"/>
  <c r="C697" i="3"/>
  <c r="C140" i="3"/>
  <c r="C645" i="3"/>
  <c r="C138" i="3"/>
  <c r="C643" i="3"/>
  <c r="C184" i="3"/>
  <c r="C689" i="3"/>
  <c r="C180" i="3"/>
  <c r="C685" i="3"/>
  <c r="C144" i="3"/>
  <c r="C649" i="3"/>
  <c r="C188" i="3"/>
  <c r="C693" i="3"/>
  <c r="C178" i="3"/>
  <c r="C683" i="3"/>
  <c r="C132" i="3"/>
  <c r="C637" i="3"/>
  <c r="E263" i="2"/>
  <c r="D70" i="3"/>
  <c r="E264" i="2"/>
  <c r="D72" i="3"/>
  <c r="E265" i="2"/>
  <c r="D74" i="3"/>
  <c r="E266" i="2"/>
  <c r="D76" i="3"/>
  <c r="E267" i="2"/>
  <c r="D78" i="3"/>
  <c r="E268" i="2"/>
  <c r="D80" i="3"/>
  <c r="E269" i="2"/>
  <c r="D82" i="3"/>
  <c r="E270" i="2"/>
  <c r="D84" i="3"/>
  <c r="E271" i="2"/>
  <c r="D86" i="3"/>
  <c r="E272" i="2"/>
  <c r="D88" i="3"/>
  <c r="E273" i="2"/>
  <c r="D90" i="3"/>
  <c r="E274" i="2"/>
  <c r="D92" i="3"/>
  <c r="E275" i="2"/>
  <c r="D94" i="3"/>
  <c r="E276" i="2"/>
  <c r="D96" i="3"/>
  <c r="E277" i="2"/>
  <c r="D98" i="3"/>
  <c r="E278" i="2"/>
  <c r="D100" i="3"/>
  <c r="E279" i="2"/>
  <c r="D102" i="3"/>
  <c r="E280" i="2"/>
  <c r="D104" i="3"/>
  <c r="E281" i="2"/>
  <c r="D106" i="3"/>
  <c r="E282" i="2"/>
  <c r="D108" i="3"/>
  <c r="E283" i="2"/>
  <c r="D110" i="3"/>
  <c r="E284" i="2"/>
  <c r="D112" i="3"/>
  <c r="E285" i="2"/>
  <c r="D114" i="3"/>
  <c r="E286" i="2"/>
  <c r="D116" i="3"/>
  <c r="E287" i="2"/>
  <c r="D118" i="3"/>
  <c r="E288" i="2"/>
  <c r="D120" i="3"/>
  <c r="E289" i="2"/>
  <c r="D122" i="3"/>
  <c r="E290" i="2"/>
  <c r="D124" i="3"/>
  <c r="E291" i="2"/>
  <c r="D126" i="3"/>
  <c r="E292" i="2"/>
  <c r="D128" i="3"/>
  <c r="E293" i="2"/>
  <c r="D130" i="3"/>
  <c r="E262" i="2"/>
  <c r="D68" i="3"/>
  <c r="E235" i="2"/>
  <c r="D14" i="3"/>
  <c r="E236" i="2"/>
  <c r="D16" i="3"/>
  <c r="E237" i="2"/>
  <c r="D18" i="3"/>
  <c r="E238" i="2"/>
  <c r="D20" i="3"/>
  <c r="E239" i="2"/>
  <c r="D22" i="3"/>
  <c r="E240" i="2"/>
  <c r="D24" i="3"/>
  <c r="E241" i="2"/>
  <c r="D26" i="3"/>
  <c r="E242" i="2"/>
  <c r="D28" i="3"/>
  <c r="E243" i="2"/>
  <c r="D30" i="3"/>
  <c r="E244" i="2"/>
  <c r="D32" i="3"/>
  <c r="E245" i="2"/>
  <c r="D34" i="3"/>
  <c r="E246" i="2"/>
  <c r="D36" i="3"/>
  <c r="E247" i="2"/>
  <c r="D38" i="3"/>
  <c r="E248" i="2"/>
  <c r="D40" i="3"/>
  <c r="E249" i="2"/>
  <c r="D42" i="3"/>
  <c r="E250" i="2"/>
  <c r="D44" i="3"/>
  <c r="E251" i="2"/>
  <c r="D46" i="3"/>
  <c r="E252" i="2"/>
  <c r="D48" i="3"/>
  <c r="E253" i="2"/>
  <c r="D50" i="3"/>
  <c r="E254" i="2"/>
  <c r="D52" i="3"/>
  <c r="E255" i="2"/>
  <c r="D54" i="3"/>
  <c r="E256" i="2"/>
  <c r="D56" i="3"/>
  <c r="E257" i="2"/>
  <c r="D58" i="3"/>
  <c r="E258" i="2"/>
  <c r="D60" i="3"/>
  <c r="E259" i="2"/>
  <c r="D62" i="3"/>
  <c r="E260" i="2"/>
  <c r="D64" i="3"/>
  <c r="E261" i="2"/>
  <c r="D66" i="3"/>
  <c r="D263" i="2"/>
  <c r="C70" i="3"/>
  <c r="D264" i="2"/>
  <c r="C72" i="3"/>
  <c r="D265" i="2"/>
  <c r="C74" i="3"/>
  <c r="D266" i="2"/>
  <c r="C76" i="3"/>
  <c r="D267" i="2"/>
  <c r="C78" i="3"/>
  <c r="D268" i="2"/>
  <c r="C80" i="3"/>
  <c r="D269" i="2"/>
  <c r="C82" i="3"/>
  <c r="D270" i="2"/>
  <c r="C84" i="3"/>
  <c r="D271" i="2"/>
  <c r="C86" i="3"/>
  <c r="D272" i="2"/>
  <c r="C88" i="3"/>
  <c r="D273" i="2"/>
  <c r="C90" i="3"/>
  <c r="D274" i="2"/>
  <c r="C92" i="3"/>
  <c r="D275" i="2"/>
  <c r="C94" i="3"/>
  <c r="D276" i="2"/>
  <c r="C96" i="3"/>
  <c r="D277" i="2"/>
  <c r="C98" i="3"/>
  <c r="D278" i="2"/>
  <c r="C100" i="3"/>
  <c r="D279" i="2"/>
  <c r="C102" i="3"/>
  <c r="D280" i="2"/>
  <c r="C104" i="3"/>
  <c r="D281" i="2"/>
  <c r="C106" i="3"/>
  <c r="D282" i="2"/>
  <c r="C108" i="3"/>
  <c r="D283" i="2"/>
  <c r="C110" i="3"/>
  <c r="D284" i="2"/>
  <c r="C112" i="3"/>
  <c r="D285" i="2"/>
  <c r="C114" i="3"/>
  <c r="D286" i="2"/>
  <c r="C116" i="3"/>
  <c r="D287" i="2"/>
  <c r="C118" i="3"/>
  <c r="D288" i="2"/>
  <c r="C120" i="3"/>
  <c r="D289" i="2"/>
  <c r="C122" i="3"/>
  <c r="D290" i="2"/>
  <c r="C124" i="3"/>
  <c r="D291" i="2"/>
  <c r="C126" i="3"/>
  <c r="D292" i="2"/>
  <c r="C128" i="3"/>
  <c r="D293" i="2"/>
  <c r="C130" i="3"/>
  <c r="D262" i="2"/>
  <c r="C68" i="3"/>
  <c r="D235" i="2"/>
  <c r="C14" i="3"/>
  <c r="D236" i="2"/>
  <c r="C16" i="3"/>
  <c r="D237" i="2"/>
  <c r="C18" i="3"/>
  <c r="D238" i="2"/>
  <c r="C20" i="3"/>
  <c r="D239" i="2"/>
  <c r="C22" i="3"/>
  <c r="D240" i="2"/>
  <c r="C24" i="3"/>
  <c r="D241" i="2"/>
  <c r="C26" i="3"/>
  <c r="D242" i="2"/>
  <c r="C28" i="3"/>
  <c r="D243" i="2"/>
  <c r="C30" i="3"/>
  <c r="D244" i="2"/>
  <c r="C32" i="3"/>
  <c r="D245" i="2"/>
  <c r="C34" i="3"/>
  <c r="D246" i="2"/>
  <c r="C36" i="3"/>
  <c r="D247" i="2"/>
  <c r="C38" i="3"/>
  <c r="D248" i="2"/>
  <c r="C40" i="3"/>
  <c r="D249" i="2"/>
  <c r="C42" i="3"/>
  <c r="D250" i="2"/>
  <c r="C44" i="3"/>
  <c r="D251" i="2"/>
  <c r="C46" i="3"/>
  <c r="D252" i="2"/>
  <c r="C48" i="3"/>
  <c r="D253" i="2"/>
  <c r="C50" i="3"/>
  <c r="D254" i="2"/>
  <c r="C52" i="3"/>
  <c r="D255" i="2"/>
  <c r="C54" i="3"/>
  <c r="D256" i="2"/>
  <c r="C56" i="3"/>
  <c r="D257" i="2"/>
  <c r="C58" i="3"/>
  <c r="D258" i="2"/>
  <c r="C60" i="3"/>
  <c r="D259" i="2"/>
  <c r="C62" i="3"/>
  <c r="D260" i="2"/>
  <c r="C64" i="3"/>
  <c r="D261" i="2"/>
  <c r="C66" i="3"/>
  <c r="D185" i="2"/>
  <c r="D184" i="2"/>
  <c r="D183" i="2"/>
  <c r="D182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50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18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50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18" i="2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F635" i="3"/>
  <c r="E635" i="3"/>
  <c r="D635" i="3"/>
  <c r="C635" i="3"/>
  <c r="F633" i="3"/>
  <c r="E633" i="3"/>
  <c r="D633" i="3"/>
  <c r="C633" i="3"/>
  <c r="F631" i="3"/>
  <c r="E631" i="3"/>
  <c r="D631" i="3"/>
  <c r="C631" i="3"/>
  <c r="F629" i="3"/>
  <c r="E629" i="3"/>
  <c r="D629" i="3"/>
  <c r="C629" i="3"/>
  <c r="F627" i="3"/>
  <c r="E627" i="3"/>
  <c r="D627" i="3"/>
  <c r="C627" i="3"/>
  <c r="F625" i="3"/>
  <c r="E625" i="3"/>
  <c r="D625" i="3"/>
  <c r="C625" i="3"/>
  <c r="F623" i="3"/>
  <c r="E623" i="3"/>
  <c r="D623" i="3"/>
  <c r="C623" i="3"/>
  <c r="F621" i="3"/>
  <c r="E621" i="3"/>
  <c r="D621" i="3"/>
  <c r="C621" i="3"/>
  <c r="F619" i="3"/>
  <c r="E619" i="3"/>
  <c r="D619" i="3"/>
  <c r="C619" i="3"/>
  <c r="F617" i="3"/>
  <c r="E617" i="3"/>
  <c r="D617" i="3"/>
  <c r="C617" i="3"/>
  <c r="F615" i="3"/>
  <c r="E615" i="3"/>
  <c r="D615" i="3"/>
  <c r="C615" i="3"/>
  <c r="F613" i="3"/>
  <c r="E613" i="3"/>
  <c r="D613" i="3"/>
  <c r="C613" i="3"/>
  <c r="F611" i="3"/>
  <c r="E611" i="3"/>
  <c r="D611" i="3"/>
  <c r="C611" i="3"/>
  <c r="F609" i="3"/>
  <c r="E609" i="3"/>
  <c r="D609" i="3"/>
  <c r="C609" i="3"/>
  <c r="F607" i="3"/>
  <c r="E607" i="3"/>
  <c r="D607" i="3"/>
  <c r="C607" i="3"/>
  <c r="F605" i="3"/>
  <c r="E605" i="3"/>
  <c r="D605" i="3"/>
  <c r="C605" i="3"/>
  <c r="F603" i="3"/>
  <c r="E603" i="3"/>
  <c r="D603" i="3"/>
  <c r="C603" i="3"/>
  <c r="F601" i="3"/>
  <c r="E601" i="3"/>
  <c r="D601" i="3"/>
  <c r="C601" i="3"/>
  <c r="F599" i="3"/>
  <c r="E599" i="3"/>
  <c r="D599" i="3"/>
  <c r="C599" i="3"/>
  <c r="F597" i="3"/>
  <c r="E597" i="3"/>
  <c r="D597" i="3"/>
  <c r="C597" i="3"/>
  <c r="F595" i="3"/>
  <c r="E595" i="3"/>
  <c r="D595" i="3"/>
  <c r="C595" i="3"/>
  <c r="F593" i="3"/>
  <c r="E593" i="3"/>
  <c r="D593" i="3"/>
  <c r="C593" i="3"/>
  <c r="F591" i="3"/>
  <c r="E591" i="3"/>
  <c r="D591" i="3"/>
  <c r="C591" i="3"/>
  <c r="F589" i="3"/>
  <c r="E589" i="3"/>
  <c r="D589" i="3"/>
  <c r="C589" i="3"/>
  <c r="F587" i="3"/>
  <c r="E587" i="3"/>
  <c r="D587" i="3"/>
  <c r="C587" i="3"/>
  <c r="F585" i="3"/>
  <c r="E585" i="3"/>
  <c r="D585" i="3"/>
  <c r="C585" i="3"/>
  <c r="F583" i="3"/>
  <c r="E583" i="3"/>
  <c r="D583" i="3"/>
  <c r="C583" i="3"/>
  <c r="F581" i="3"/>
  <c r="E581" i="3"/>
  <c r="D581" i="3"/>
  <c r="C581" i="3"/>
  <c r="F579" i="3"/>
  <c r="E579" i="3"/>
  <c r="D579" i="3"/>
  <c r="C579" i="3"/>
  <c r="F577" i="3"/>
  <c r="E577" i="3"/>
  <c r="D577" i="3"/>
  <c r="C577" i="3"/>
  <c r="F575" i="3"/>
  <c r="E575" i="3"/>
  <c r="D575" i="3"/>
  <c r="C575" i="3"/>
  <c r="F573" i="3"/>
  <c r="E573" i="3"/>
  <c r="D573" i="3"/>
  <c r="C573" i="3"/>
  <c r="F571" i="3"/>
  <c r="E571" i="3"/>
  <c r="D571" i="3"/>
  <c r="C571" i="3"/>
  <c r="F569" i="3"/>
  <c r="E569" i="3"/>
  <c r="D569" i="3"/>
  <c r="C569" i="3"/>
  <c r="F567" i="3"/>
  <c r="E567" i="3"/>
  <c r="D567" i="3"/>
  <c r="C567" i="3"/>
  <c r="F565" i="3"/>
  <c r="E565" i="3"/>
  <c r="D565" i="3"/>
  <c r="C565" i="3"/>
  <c r="F563" i="3"/>
  <c r="E563" i="3"/>
  <c r="D563" i="3"/>
  <c r="C563" i="3"/>
  <c r="F561" i="3"/>
  <c r="E561" i="3"/>
  <c r="D561" i="3"/>
  <c r="C561" i="3"/>
  <c r="F559" i="3"/>
  <c r="E559" i="3"/>
  <c r="D559" i="3"/>
  <c r="C559" i="3"/>
  <c r="F557" i="3"/>
  <c r="E557" i="3"/>
  <c r="D557" i="3"/>
  <c r="C557" i="3"/>
  <c r="F555" i="3"/>
  <c r="E555" i="3"/>
  <c r="D555" i="3"/>
  <c r="C555" i="3"/>
  <c r="F553" i="3"/>
  <c r="E553" i="3"/>
  <c r="D553" i="3"/>
  <c r="C553" i="3"/>
  <c r="F551" i="3"/>
  <c r="E551" i="3"/>
  <c r="D551" i="3"/>
  <c r="C551" i="3"/>
  <c r="F549" i="3"/>
  <c r="E549" i="3"/>
  <c r="D549" i="3"/>
  <c r="C549" i="3"/>
  <c r="F547" i="3"/>
  <c r="E547" i="3"/>
  <c r="D547" i="3"/>
  <c r="C547" i="3"/>
  <c r="F545" i="3"/>
  <c r="E545" i="3"/>
  <c r="D545" i="3"/>
  <c r="C545" i="3"/>
  <c r="F543" i="3"/>
  <c r="E543" i="3"/>
  <c r="D543" i="3"/>
  <c r="C543" i="3"/>
  <c r="F541" i="3"/>
  <c r="E541" i="3"/>
  <c r="D541" i="3"/>
  <c r="C541" i="3"/>
  <c r="F539" i="3"/>
  <c r="E539" i="3"/>
  <c r="D539" i="3"/>
  <c r="C539" i="3"/>
  <c r="F537" i="3"/>
  <c r="E537" i="3"/>
  <c r="D537" i="3"/>
  <c r="C537" i="3"/>
  <c r="F535" i="3"/>
  <c r="E535" i="3"/>
  <c r="D535" i="3"/>
  <c r="C535" i="3"/>
  <c r="F533" i="3"/>
  <c r="E533" i="3"/>
  <c r="D533" i="3"/>
  <c r="C533" i="3"/>
  <c r="F531" i="3"/>
  <c r="E531" i="3"/>
  <c r="D531" i="3"/>
  <c r="C531" i="3"/>
  <c r="F529" i="3"/>
  <c r="E529" i="3"/>
  <c r="D529" i="3"/>
  <c r="C529" i="3"/>
  <c r="F527" i="3"/>
  <c r="E527" i="3"/>
  <c r="D527" i="3"/>
  <c r="C527" i="3"/>
  <c r="F525" i="3"/>
  <c r="E525" i="3"/>
  <c r="D525" i="3"/>
  <c r="C525" i="3"/>
  <c r="F523" i="3"/>
  <c r="E523" i="3"/>
  <c r="D523" i="3"/>
  <c r="C523" i="3"/>
  <c r="F521" i="3"/>
  <c r="E521" i="3"/>
  <c r="D521" i="3"/>
  <c r="C521" i="3"/>
  <c r="F519" i="3"/>
  <c r="E519" i="3"/>
  <c r="D519" i="3"/>
  <c r="C519" i="3"/>
  <c r="F517" i="3"/>
  <c r="E517" i="3"/>
  <c r="D517" i="3"/>
  <c r="C517" i="3"/>
  <c r="F515" i="3"/>
  <c r="E515" i="3"/>
  <c r="D515" i="3"/>
  <c r="C515" i="3"/>
  <c r="F513" i="3"/>
  <c r="E513" i="3"/>
  <c r="D513" i="3"/>
  <c r="C513" i="3"/>
  <c r="F511" i="3"/>
  <c r="E511" i="3"/>
  <c r="D511" i="3"/>
  <c r="C511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F509" i="3"/>
  <c r="E509" i="3"/>
  <c r="D509" i="3"/>
  <c r="C509" i="3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C198" i="2"/>
  <c r="C199" i="2"/>
  <c r="C200" i="2"/>
  <c r="C201" i="2"/>
  <c r="C202" i="2"/>
  <c r="C203" i="2"/>
  <c r="C204" i="2"/>
  <c r="C190" i="2"/>
  <c r="C191" i="2"/>
  <c r="C192" i="2"/>
  <c r="C193" i="2"/>
  <c r="C194" i="2"/>
  <c r="C195" i="2"/>
  <c r="C196" i="2"/>
  <c r="C187" i="2"/>
  <c r="C188" i="2"/>
  <c r="C183" i="2"/>
  <c r="C184" i="2"/>
  <c r="C185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5" i="2"/>
  <c r="C6" i="2"/>
  <c r="C7" i="2"/>
  <c r="C8" i="2"/>
  <c r="C9" i="2"/>
  <c r="C10" i="2"/>
  <c r="C11" i="2"/>
  <c r="C12" i="2"/>
  <c r="C13" i="2"/>
  <c r="C14" i="2"/>
</calcChain>
</file>

<file path=xl/sharedStrings.xml><?xml version="1.0" encoding="utf-8"?>
<sst xmlns="http://schemas.openxmlformats.org/spreadsheetml/2006/main" count="1812" uniqueCount="1108">
  <si>
    <t>DE-4000 MODBUS REGISTER MAPPING (16 bit registers available at the configured node # in the HMI)</t>
  </si>
  <si>
    <t>ADDRESS</t>
  </si>
  <si>
    <t>DESCRIPTION</t>
  </si>
  <si>
    <t>BIT</t>
  </si>
  <si>
    <t>FUNCTION</t>
  </si>
  <si>
    <t>DEVICE TAG</t>
  </si>
  <si>
    <t>ENGINE STATE</t>
  </si>
  <si>
    <t>WARNING</t>
  </si>
  <si>
    <t>CRANK</t>
  </si>
  <si>
    <t>IGNITION</t>
  </si>
  <si>
    <t>FUEL</t>
  </si>
  <si>
    <t>CRANK DISCONNECT</t>
  </si>
  <si>
    <t>WARMUP</t>
  </si>
  <si>
    <t>RUNNING</t>
  </si>
  <si>
    <t>COOLDOWN</t>
  </si>
  <si>
    <t>Hourmeter # of Hours - (Unsigned 0-65535)</t>
  </si>
  <si>
    <t>Hourmeter # of Minutes - (0-59)</t>
  </si>
  <si>
    <t>STATUS FAULT
Terminal Module T1 Channel Fault = 1-32
Terminal Module T2 Channel Fault = 33-64
Terminal Module T3 Channel Fault = 65-96
Terminal Module T4 Channel Fault = 97-128
Terminal Module T5 Channel Fault = 129 - 160
Speed Channel fault = 161-170 
     (T1:SP1, T1:SP2, T2:SP1, T2:SP2, etc.)
Overcrank = 171 
Stop = 0
Timers Active = 254
Running = 255</t>
  </si>
  <si>
    <t>STOP</t>
  </si>
  <si>
    <t>N/A</t>
  </si>
  <si>
    <t>161-170</t>
  </si>
  <si>
    <t>OVERCRANK</t>
  </si>
  <si>
    <t>TIMERS ACTIVE</t>
  </si>
  <si>
    <t>Controller Module DS Output Status</t>
  </si>
  <si>
    <t>Fault Status</t>
  </si>
  <si>
    <t>LOW FAULT or DISCRETE FAULT</t>
  </si>
  <si>
    <t>HIGH FAULT</t>
  </si>
  <si>
    <t>Digital output status for Terminal Module T1</t>
  </si>
  <si>
    <t>Digital output status for Terminal Module T2</t>
  </si>
  <si>
    <t>Digital output status for Terminal Module T3</t>
  </si>
  <si>
    <t>Digital output status for Terminal Module T4</t>
  </si>
  <si>
    <t>Digital output status for Terminal Module T5</t>
  </si>
  <si>
    <t>Terminal Module T1, Channels IN1</t>
  </si>
  <si>
    <t>Terminal Module T1, Channels IN2</t>
  </si>
  <si>
    <t>Terminal Module T1, Channels IN3</t>
  </si>
  <si>
    <t>Terminal Module T1, Channels IN4</t>
  </si>
  <si>
    <t>Terminal Module T1, Channels IN5</t>
  </si>
  <si>
    <t>Terminal Module T1, Channels IN6</t>
  </si>
  <si>
    <t>Terminal Module T1, Channels IN7</t>
  </si>
  <si>
    <t>Terminal Module T1, Channels IN8</t>
  </si>
  <si>
    <t>Terminal Module T1, Channels IN9</t>
  </si>
  <si>
    <t>Terminal Module T1, Channels IN10</t>
  </si>
  <si>
    <t>Terminal Module T1, Channels IN11</t>
  </si>
  <si>
    <t>Terminal Module T1, Channels IN12</t>
  </si>
  <si>
    <t>Terminal Module T1, Channels IN13</t>
  </si>
  <si>
    <t>Terminal Module T1, Channels IN14</t>
  </si>
  <si>
    <t>Terminal Module T1, Channels IN15</t>
  </si>
  <si>
    <t>Terminal Module T1, Channels IN16</t>
  </si>
  <si>
    <t>Terminal Module T1, Channels IN17</t>
  </si>
  <si>
    <t>Terminal Module T1, Channels IN18</t>
  </si>
  <si>
    <t>Terminal Module T1, Channels IN19</t>
  </si>
  <si>
    <t>Terminal Module T1, Channels IN20</t>
  </si>
  <si>
    <t>Terminal Module T1, Channels IN21</t>
  </si>
  <si>
    <t>Terminal Module T1, Channels IN22</t>
  </si>
  <si>
    <t>Terminal Module T1, Channels IN23</t>
  </si>
  <si>
    <t>Terminal Module T1, Channels IN24</t>
  </si>
  <si>
    <t>Terminal Module T1, Channels IN25</t>
  </si>
  <si>
    <t>Terminal Module T1, Channels IN26</t>
  </si>
  <si>
    <t>Terminal Module T1, Channels IN27</t>
  </si>
  <si>
    <t>Terminal Module T1, Channels IN28</t>
  </si>
  <si>
    <t>Terminal Module T1, Channels IN29</t>
  </si>
  <si>
    <t>Terminal Module T1, Channels IN30</t>
  </si>
  <si>
    <t>Terminal Module T1, Channels IN31</t>
  </si>
  <si>
    <t>Terminal Module T1, Channels IN32</t>
  </si>
  <si>
    <t>Terminal Module T2, Channels IN1</t>
  </si>
  <si>
    <t>Terminal Module T2, Channels IN2</t>
  </si>
  <si>
    <t>Terminal Module T2, Channels IN3</t>
  </si>
  <si>
    <t>Terminal Module T2, Channels IN4</t>
  </si>
  <si>
    <t>Terminal Module T2, Channels IN5</t>
  </si>
  <si>
    <t>Terminal Module T2, Channels IN6</t>
  </si>
  <si>
    <t>Terminal Module T2, Channels IN7</t>
  </si>
  <si>
    <t>Terminal Module T2, Channels IN8</t>
  </si>
  <si>
    <t>Terminal Module T2, Channels IN9</t>
  </si>
  <si>
    <t>Terminal Module T2, Channels IN10</t>
  </si>
  <si>
    <t>Terminal Module T2, Channels IN11</t>
  </si>
  <si>
    <t>Terminal Module T2, Channels IN12</t>
  </si>
  <si>
    <t>Terminal Module T2, Channels IN13</t>
  </si>
  <si>
    <t>Terminal Module T2, Channels IN14</t>
  </si>
  <si>
    <t>Terminal Module T2, Channels IN15</t>
  </si>
  <si>
    <t>Terminal Module T2, Channels IN16</t>
  </si>
  <si>
    <t>Terminal Module T2, Channels IN17</t>
  </si>
  <si>
    <t>Terminal Module T2, Channels IN18</t>
  </si>
  <si>
    <t>Terminal Module T2, Channels IN19</t>
  </si>
  <si>
    <t>Terminal Module T2, Channels IN20</t>
  </si>
  <si>
    <t>Terminal Module T2, Channels IN21</t>
  </si>
  <si>
    <t>Terminal Module T2, Channels IN22</t>
  </si>
  <si>
    <t>Terminal Module T2, Channels IN23</t>
  </si>
  <si>
    <t>Terminal Module T2, Channels IN24</t>
  </si>
  <si>
    <t>Terminal Module T2, Channels IN25</t>
  </si>
  <si>
    <t>Terminal Module T2, Channels IN26</t>
  </si>
  <si>
    <t>Terminal Module T2, Channels IN27</t>
  </si>
  <si>
    <t>Terminal Module T2, Channels IN28</t>
  </si>
  <si>
    <t>Terminal Module T2, Channels IN29</t>
  </si>
  <si>
    <t>Terminal Module T2, Channels IN30</t>
  </si>
  <si>
    <t>Terminal Module T2, Channels IN31</t>
  </si>
  <si>
    <t>Terminal Module T2, Channels IN32</t>
  </si>
  <si>
    <t>Terminal Module T3, Channels IN1</t>
  </si>
  <si>
    <t>Terminal Module T3, Channels IN2</t>
  </si>
  <si>
    <t>Terminal Module T3, Channels IN3</t>
  </si>
  <si>
    <t>Terminal Module T3, Channels IN4</t>
  </si>
  <si>
    <t>Terminal Module T3, Channels IN5</t>
  </si>
  <si>
    <t>Terminal Module T3, Channels IN6</t>
  </si>
  <si>
    <t>Terminal Module T3, Channels IN7</t>
  </si>
  <si>
    <t>Terminal Module T3, Channels IN8</t>
  </si>
  <si>
    <t>Terminal Module T3, Channels IN9</t>
  </si>
  <si>
    <t>Terminal Module T3, Channels IN10</t>
  </si>
  <si>
    <t>Terminal Module T3, Channels IN11</t>
  </si>
  <si>
    <t>Terminal Module T3, Channels IN12</t>
  </si>
  <si>
    <t>Terminal Module T3, Channels IN13</t>
  </si>
  <si>
    <t>Terminal Module T3, Channels IN14</t>
  </si>
  <si>
    <t>Terminal Module T3, Channels IN15</t>
  </si>
  <si>
    <t>Terminal Module T3, Channels IN16</t>
  </si>
  <si>
    <t>Terminal Module T3, Channels IN17</t>
  </si>
  <si>
    <t>Terminal Module T3, Channels IN18</t>
  </si>
  <si>
    <t>Terminal Module T3, Channels IN19</t>
  </si>
  <si>
    <t>Terminal Module T3, Channels IN20</t>
  </si>
  <si>
    <t>Terminal Module T3, Channels IN21</t>
  </si>
  <si>
    <t>Terminal Module T3, Channels IN22</t>
  </si>
  <si>
    <t>Terminal Module T3, Channels IN23</t>
  </si>
  <si>
    <t>Terminal Module T3, Channels IN24</t>
  </si>
  <si>
    <t>Terminal Module T3, Channels IN25</t>
  </si>
  <si>
    <t>Terminal Module T3, Channels IN26</t>
  </si>
  <si>
    <t>Terminal Module T3, Channels IN27</t>
  </si>
  <si>
    <t>Terminal Module T3, Channels IN28</t>
  </si>
  <si>
    <t>Terminal Module T3, Channels IN29</t>
  </si>
  <si>
    <t>Terminal Module T3, Channels IN30</t>
  </si>
  <si>
    <t>Terminal Module T3, Channels IN31</t>
  </si>
  <si>
    <t>Terminal Module T3, Channels IN32</t>
  </si>
  <si>
    <t>Terminal Module T4, Channels IN1</t>
  </si>
  <si>
    <t>Terminal Module T4, Channels IN2</t>
  </si>
  <si>
    <t>Terminal Module T4, Channels IN3</t>
  </si>
  <si>
    <t>Terminal Module T4, Channels IN4</t>
  </si>
  <si>
    <t>Terminal Module T4, Channels IN5</t>
  </si>
  <si>
    <t>Terminal Module T4, Channels IN6</t>
  </si>
  <si>
    <t>Terminal Module T4, Channels IN7</t>
  </si>
  <si>
    <t>Terminal Module T4, Channels IN8</t>
  </si>
  <si>
    <t>Terminal Module T4, Channels IN9</t>
  </si>
  <si>
    <t>Terminal Module T4, Channels IN10</t>
  </si>
  <si>
    <t>Terminal Module T4, Channels IN11</t>
  </si>
  <si>
    <t>Terminal Module T4, Channels IN12</t>
  </si>
  <si>
    <t>Terminal Module T4, Channels IN13</t>
  </si>
  <si>
    <t>Terminal Module T4, Channels IN14</t>
  </si>
  <si>
    <t>Terminal Module T4, Channels IN15</t>
  </si>
  <si>
    <t>Terminal Module T4, Channels IN16</t>
  </si>
  <si>
    <t>Terminal Module T4, Channels IN17</t>
  </si>
  <si>
    <t>Terminal Module T4, Channels IN18</t>
  </si>
  <si>
    <t>Terminal Module T4, Channels IN19</t>
  </si>
  <si>
    <t>Terminal Module T4, Channels IN20</t>
  </si>
  <si>
    <t>Terminal Module T4, Channels IN21</t>
  </si>
  <si>
    <t>Terminal Module T4, Channels IN22</t>
  </si>
  <si>
    <t>Terminal Module T4, Channels IN23</t>
  </si>
  <si>
    <t>Terminal Module T4, Channels IN24</t>
  </si>
  <si>
    <t>Terminal Module T4, Channels IN25</t>
  </si>
  <si>
    <t>Terminal Module T4, Channels IN26</t>
  </si>
  <si>
    <t>Terminal Module T4, Channels IN27</t>
  </si>
  <si>
    <t>Terminal Module T4, Channels IN28</t>
  </si>
  <si>
    <t>Terminal Module T4, Channels IN29</t>
  </si>
  <si>
    <t>Terminal Module T4, Channels IN30</t>
  </si>
  <si>
    <t>Terminal Module T4, Channels IN31</t>
  </si>
  <si>
    <t>Terminal Module T4, Channels IN32</t>
  </si>
  <si>
    <t>Terminal Module T5, Channels IN1</t>
  </si>
  <si>
    <t>Terminal Module T5, Channels IN2</t>
  </si>
  <si>
    <t>Terminal Module T5, Channels IN3</t>
  </si>
  <si>
    <t>Terminal Module T5, Channels IN4</t>
  </si>
  <si>
    <t>Terminal Module T5, Channels IN5</t>
  </si>
  <si>
    <t>Terminal Module T5, Channels IN6</t>
  </si>
  <si>
    <t>Terminal Module T5, Channels IN7</t>
  </si>
  <si>
    <t>Terminal Module T5, Channels IN8</t>
  </si>
  <si>
    <t>Terminal Module T5, Channels IN9</t>
  </si>
  <si>
    <t>Terminal Module T5, Channels IN10</t>
  </si>
  <si>
    <t>Terminal Module T5, Channels IN11</t>
  </si>
  <si>
    <t>Terminal Module T5, Channels IN12</t>
  </si>
  <si>
    <t>Terminal Module T5, Channels IN13</t>
  </si>
  <si>
    <t>Terminal Module T5, Channels IN14</t>
  </si>
  <si>
    <t>Terminal Module T5, Channels IN15</t>
  </si>
  <si>
    <t>Terminal Module T5, Channels IN16</t>
  </si>
  <si>
    <t>Terminal Module T5, Channels IN17</t>
  </si>
  <si>
    <t>Terminal Module T5, Channels IN18</t>
  </si>
  <si>
    <t>Terminal Module T5, Channels IN19</t>
  </si>
  <si>
    <t>Terminal Module T5, Channels IN20</t>
  </si>
  <si>
    <t>Terminal Module T5, Channels IN21</t>
  </si>
  <si>
    <t>Terminal Module T5, Channels IN22</t>
  </si>
  <si>
    <t>Terminal Module T5, Channels IN23</t>
  </si>
  <si>
    <t>Terminal Module T5, Channels IN24</t>
  </si>
  <si>
    <t>Terminal Module T5, Channels IN25</t>
  </si>
  <si>
    <t>Terminal Module T5, Channels IN26</t>
  </si>
  <si>
    <t>Terminal Module T5, Channels IN27</t>
  </si>
  <si>
    <t>Terminal Module T5, Channels IN28</t>
  </si>
  <si>
    <t>Terminal Module T5, Channels IN29</t>
  </si>
  <si>
    <t>Terminal Module T5, Channels IN30</t>
  </si>
  <si>
    <t>Terminal Module T5, Channels IN31</t>
  </si>
  <si>
    <t>Terminal Module T5, Channels IN32</t>
  </si>
  <si>
    <t>T1:SP1 Speed in RPM</t>
  </si>
  <si>
    <t>T1:SP2 Speed in RPM</t>
  </si>
  <si>
    <t>T2:SP1 Speed in RPM</t>
  </si>
  <si>
    <t>T2:SP2 Speed in RPM</t>
  </si>
  <si>
    <t>T3:SP1 Speed in RPM</t>
  </si>
  <si>
    <t>T3:SP2 Speed in RPM</t>
  </si>
  <si>
    <t>T4:SP1 Speed in RPM</t>
  </si>
  <si>
    <t>T4:SP2 Speed in RPM</t>
  </si>
  <si>
    <t>T5:SP1 Speed in RPM</t>
  </si>
  <si>
    <t>T5:SP2 Speed in RPM</t>
  </si>
  <si>
    <t>Analog Output in Percent (T1:AO1)</t>
  </si>
  <si>
    <t>Analog Output in Percent (T1:AO2)</t>
  </si>
  <si>
    <t>Analog Output in Percent (T1:AO3)</t>
  </si>
  <si>
    <t>Analog Output in Percent (T1:AO4)</t>
  </si>
  <si>
    <t>Analog Output in Percent (T2:AO1)</t>
  </si>
  <si>
    <t>Analog Output in Percent (T2:AO2)</t>
  </si>
  <si>
    <t>Analog Output in Percent (T2:AO3)</t>
  </si>
  <si>
    <t>Analog Output in Percent (T2:AO4)</t>
  </si>
  <si>
    <t>Analog Output in Percent (T3:AO1)</t>
  </si>
  <si>
    <t>Analog Output in Percent (T3:AO2)</t>
  </si>
  <si>
    <t>Analog Output in Percent (T3:AO3)</t>
  </si>
  <si>
    <t>Analog Output in Percent (T3:AO4)</t>
  </si>
  <si>
    <t>Analog Output in Percent (T4:AO1)</t>
  </si>
  <si>
    <t>Analog Output in Percent (T4:AO2)</t>
  </si>
  <si>
    <t>Analog Output in Percent (T4:AO3)</t>
  </si>
  <si>
    <t>Analog Output in Percent (T4:AO4)</t>
  </si>
  <si>
    <t>Analog Output in Percent (T5:AO1)</t>
  </si>
  <si>
    <t>Analog Output in Percent (T5:AO2)</t>
  </si>
  <si>
    <t>Analog Output in Percent (T5:AO3)</t>
  </si>
  <si>
    <t>Analog Output in Percent (T5:AO4)</t>
  </si>
  <si>
    <t>DE-4000 MODBUS 32 BIT REGISTER MAPPING (CURRENTLY AVAILABLE AT NODE# 200)</t>
  </si>
  <si>
    <t>High Bits of T1: IN1</t>
  </si>
  <si>
    <t xml:space="preserve">  Low Bits of T1:IN1</t>
  </si>
  <si>
    <t>High Bits of T1: IN2</t>
  </si>
  <si>
    <t xml:space="preserve">  Low Bits of T1:IN2</t>
  </si>
  <si>
    <t>High Bits of T1: IN3</t>
  </si>
  <si>
    <t xml:space="preserve">  Low Bits of T1:IN3</t>
  </si>
  <si>
    <t>High Bits of T1: IN4</t>
  </si>
  <si>
    <t xml:space="preserve">  Low Bits of T1:IN4</t>
  </si>
  <si>
    <t>High Bits of T1: IN5</t>
  </si>
  <si>
    <t xml:space="preserve">  Low Bits of T1:IN5</t>
  </si>
  <si>
    <t>High Bits of T1: IN6</t>
  </si>
  <si>
    <t xml:space="preserve">  Low Bits of T1:IN6</t>
  </si>
  <si>
    <t>High Bits of T1: IN7</t>
  </si>
  <si>
    <t xml:space="preserve">  Low Bits of T1:IN7</t>
  </si>
  <si>
    <t>High Bits of T1: IN8</t>
  </si>
  <si>
    <t xml:space="preserve">  Low Bits of T1:IN8</t>
  </si>
  <si>
    <t>High Bits of T1: IN9</t>
  </si>
  <si>
    <t xml:space="preserve">  Low Bits of T1:IN9</t>
  </si>
  <si>
    <t>High Bits of T1: IN10</t>
  </si>
  <si>
    <t xml:space="preserve">  Low Bits of T1:IN10</t>
  </si>
  <si>
    <t>High Bits of T1: IN11</t>
  </si>
  <si>
    <t xml:space="preserve">  Low Bits of T1:IN11</t>
  </si>
  <si>
    <t>High Bits of T1: IN12</t>
  </si>
  <si>
    <t xml:space="preserve">  Low Bits of T1:IN12</t>
  </si>
  <si>
    <t>High Bits of T1: IN13</t>
  </si>
  <si>
    <t xml:space="preserve">  Low Bits of T1:IN13</t>
  </si>
  <si>
    <t>High Bits of T1: IN14</t>
  </si>
  <si>
    <t xml:space="preserve">  Low Bits of T1:IN14</t>
  </si>
  <si>
    <t>High Bits of T1: IN15</t>
  </si>
  <si>
    <t xml:space="preserve">  Low Bits of T1:IN15</t>
  </si>
  <si>
    <t>High Bits of T1: IN16</t>
  </si>
  <si>
    <t xml:space="preserve">  Low Bits of T1:IN16</t>
  </si>
  <si>
    <t>High Bits of T1: IN17</t>
  </si>
  <si>
    <t xml:space="preserve">  Low Bits of T1:IN17</t>
  </si>
  <si>
    <t>High Bits of T1: IN18</t>
  </si>
  <si>
    <t xml:space="preserve">  Low Bits of T1:IN18</t>
  </si>
  <si>
    <t>High Bits of T1: IN19</t>
  </si>
  <si>
    <t xml:space="preserve">  Low Bits of T1:IN19</t>
  </si>
  <si>
    <t>High Bits of T1: IN20</t>
  </si>
  <si>
    <t xml:space="preserve">  Low Bits of T1:IN20</t>
  </si>
  <si>
    <t>High Bits of T1: IN21</t>
  </si>
  <si>
    <t xml:space="preserve">  Low Bits of T1:IN21</t>
  </si>
  <si>
    <t>High Bits of T1: IN22</t>
  </si>
  <si>
    <t xml:space="preserve">  Low Bits of T1:IN22</t>
  </si>
  <si>
    <t>High Bits of T1: IN23</t>
  </si>
  <si>
    <t xml:space="preserve">  Low Bits of T1:IN23</t>
  </si>
  <si>
    <t>High Bits of T1: IN24</t>
  </si>
  <si>
    <t xml:space="preserve">  Low Bits of T1:IN24</t>
  </si>
  <si>
    <t>High Bits of T1: IN25</t>
  </si>
  <si>
    <t xml:space="preserve">  Low Bits of T1:IN25</t>
  </si>
  <si>
    <t>High Bits of T1: IN26</t>
  </si>
  <si>
    <t xml:space="preserve">  Low Bits of T1:IN26</t>
  </si>
  <si>
    <t>High Bits of T1: IN27</t>
  </si>
  <si>
    <t xml:space="preserve">  Low Bits of T1:IN27</t>
  </si>
  <si>
    <t>High Bits of T1: IN28</t>
  </si>
  <si>
    <t xml:space="preserve">  Low Bits of T1:IN28</t>
  </si>
  <si>
    <t>High Bits of T1: IN29</t>
  </si>
  <si>
    <t xml:space="preserve">  Low Bits of T1:IN29</t>
  </si>
  <si>
    <t>High Bits of T1: IN30</t>
  </si>
  <si>
    <t xml:space="preserve">  Low Bits of T1:IN30</t>
  </si>
  <si>
    <t>High Bits of T1: IN31</t>
  </si>
  <si>
    <t xml:space="preserve">  Low Bits of T1:IN31</t>
  </si>
  <si>
    <t>High Bits of T1: IN32</t>
  </si>
  <si>
    <t xml:space="preserve">  Low Bits of T1:IN32</t>
  </si>
  <si>
    <t>High Bits of T2: IN1</t>
  </si>
  <si>
    <t xml:space="preserve">  Low Bits of T2:IN1</t>
  </si>
  <si>
    <t>High Bits of T2: IN2</t>
  </si>
  <si>
    <t xml:space="preserve">  Low Bits of T2:IN2</t>
  </si>
  <si>
    <t>High Bits of T2: IN3</t>
  </si>
  <si>
    <t xml:space="preserve">  Low Bits of T2:IN3</t>
  </si>
  <si>
    <t>High Bits of T2: IN4</t>
  </si>
  <si>
    <t xml:space="preserve">  Low Bits of T2:IN4</t>
  </si>
  <si>
    <t>High Bits of T2: IN5</t>
  </si>
  <si>
    <t xml:space="preserve">  Low Bits of T2:IN5</t>
  </si>
  <si>
    <t>High Bits of T2: IN6</t>
  </si>
  <si>
    <t xml:space="preserve">  Low Bits of T2:IN6</t>
  </si>
  <si>
    <t>High Bits of T2: IN7</t>
  </si>
  <si>
    <t xml:space="preserve">  Low Bits of T2:IN7</t>
  </si>
  <si>
    <t>High Bits of T2: IN8</t>
  </si>
  <si>
    <t xml:space="preserve">  Low Bits of T2:IN8</t>
  </si>
  <si>
    <t>High Bits of T2: IN9</t>
  </si>
  <si>
    <t xml:space="preserve">  Low Bits of T2:IN9</t>
  </si>
  <si>
    <t>High Bits of T2: IN10</t>
  </si>
  <si>
    <t xml:space="preserve">  Low Bits of T2:IN10</t>
  </si>
  <si>
    <t>High Bits of T2: IN11</t>
  </si>
  <si>
    <t xml:space="preserve">  Low Bits of T2:IN11</t>
  </si>
  <si>
    <t>High Bits of T2: IN12</t>
  </si>
  <si>
    <t xml:space="preserve">  Low Bits of T2:IN12</t>
  </si>
  <si>
    <t>High Bits of T2: IN13</t>
  </si>
  <si>
    <t xml:space="preserve">  Low Bits of T2:IN13</t>
  </si>
  <si>
    <t>High Bits of T2: IN14</t>
  </si>
  <si>
    <t xml:space="preserve">  Low Bits of T2:IN14</t>
  </si>
  <si>
    <t>High Bits of T2: IN15</t>
  </si>
  <si>
    <t xml:space="preserve">  Low Bits of T2:IN15</t>
  </si>
  <si>
    <t>High Bits of T2: IN16</t>
  </si>
  <si>
    <t xml:space="preserve">  Low Bits of T2:IN16</t>
  </si>
  <si>
    <t>High Bits of T2: IN17</t>
  </si>
  <si>
    <t xml:space="preserve">  Low Bits of T2:IN17</t>
  </si>
  <si>
    <t>High Bits of T2: IN18</t>
  </si>
  <si>
    <t xml:space="preserve">  Low Bits of T2:IN18</t>
  </si>
  <si>
    <t>High Bits of T2: IN19</t>
  </si>
  <si>
    <t xml:space="preserve">  Low Bits of T2:IN19</t>
  </si>
  <si>
    <t>High Bits of T2: IN20</t>
  </si>
  <si>
    <t xml:space="preserve">  Low Bits of T2:IN20</t>
  </si>
  <si>
    <t>High Bits of T2: IN21</t>
  </si>
  <si>
    <t xml:space="preserve">  Low Bits of T2:IN21</t>
  </si>
  <si>
    <t>High Bits of T2: IN22</t>
  </si>
  <si>
    <t xml:space="preserve">  Low Bits of T2:IN22</t>
  </si>
  <si>
    <t>High Bits of T2: IN23</t>
  </si>
  <si>
    <t xml:space="preserve">  Low Bits of T2:IN23</t>
  </si>
  <si>
    <t>High Bits of T2: IN24</t>
  </si>
  <si>
    <t xml:space="preserve">  Low Bits of T2:IN24</t>
  </si>
  <si>
    <t>High Bits of T2: IN25</t>
  </si>
  <si>
    <t xml:space="preserve">  Low Bits of T2:IN25</t>
  </si>
  <si>
    <t>High Bits of T2: IN26</t>
  </si>
  <si>
    <t xml:space="preserve">  Low Bits of T2:IN26</t>
  </si>
  <si>
    <t>High Bits of T2: IN27</t>
  </si>
  <si>
    <t xml:space="preserve">  Low Bits of T2:IN27</t>
  </si>
  <si>
    <t>High Bits of T2: IN28</t>
  </si>
  <si>
    <t xml:space="preserve">  Low Bits of T2:IN28</t>
  </si>
  <si>
    <t>High Bits of T2: IN29</t>
  </si>
  <si>
    <t xml:space="preserve">  Low Bits of T2:IN29</t>
  </si>
  <si>
    <t>High Bits of T2: IN30</t>
  </si>
  <si>
    <t xml:space="preserve">  Low Bits of T2:IN30</t>
  </si>
  <si>
    <t>High Bits of T2: IN31</t>
  </si>
  <si>
    <t xml:space="preserve">  Low Bits of T2:IN31</t>
  </si>
  <si>
    <t>High Bits of T2: IN32</t>
  </si>
  <si>
    <t xml:space="preserve">  Low Bits of T2:IN32</t>
  </si>
  <si>
    <t>High Bits of T3: IN1</t>
  </si>
  <si>
    <t xml:space="preserve">  Low Bits of T3:IN1</t>
  </si>
  <si>
    <t>High Bits of T3: IN2</t>
  </si>
  <si>
    <t xml:space="preserve">  Low Bits of T3:IN2</t>
  </si>
  <si>
    <t>High Bits of T3: IN3</t>
  </si>
  <si>
    <t xml:space="preserve">  Low Bits of T3:IN3</t>
  </si>
  <si>
    <t>High Bits of T3: IN4</t>
  </si>
  <si>
    <t xml:space="preserve">  Low Bits of T3:IN4</t>
  </si>
  <si>
    <t>High Bits of T3: IN5</t>
  </si>
  <si>
    <t xml:space="preserve">  Low Bits of T3:IN5</t>
  </si>
  <si>
    <t>High Bits of T3: IN6</t>
  </si>
  <si>
    <t xml:space="preserve">  Low Bits of T3:IN6</t>
  </si>
  <si>
    <t>High Bits of T3: IN7</t>
  </si>
  <si>
    <t xml:space="preserve">  Low Bits of T3:IN7</t>
  </si>
  <si>
    <t>High Bits of T3: IN8</t>
  </si>
  <si>
    <t xml:space="preserve">  Low Bits of T3:IN8</t>
  </si>
  <si>
    <t>High Bits of T3: IN9</t>
  </si>
  <si>
    <t xml:space="preserve">  Low Bits of T3:IN9</t>
  </si>
  <si>
    <t>High Bits of T3: IN10</t>
  </si>
  <si>
    <t xml:space="preserve">  Low Bits of T3:IN10</t>
  </si>
  <si>
    <t>High Bits of T3: IN11</t>
  </si>
  <si>
    <t xml:space="preserve">  Low Bits of T3:IN11</t>
  </si>
  <si>
    <t>High Bits of T3: IN12</t>
  </si>
  <si>
    <t xml:space="preserve">  Low Bits of T3:IN12</t>
  </si>
  <si>
    <t>High Bits of T3: IN13</t>
  </si>
  <si>
    <t xml:space="preserve">  Low Bits of T3:IN13</t>
  </si>
  <si>
    <t>High Bits of T3: IN14</t>
  </si>
  <si>
    <t xml:space="preserve">  Low Bits of T3:IN14</t>
  </si>
  <si>
    <t>High Bits of T3: IN15</t>
  </si>
  <si>
    <t xml:space="preserve">  Low Bits of T3:IN15</t>
  </si>
  <si>
    <t>High Bits of T3: IN16</t>
  </si>
  <si>
    <t xml:space="preserve">  Low Bits of T3:IN16</t>
  </si>
  <si>
    <t>High Bits of T3: IN17</t>
  </si>
  <si>
    <t xml:space="preserve">  Low Bits of T3:IN17</t>
  </si>
  <si>
    <t>High Bits of T3: IN18</t>
  </si>
  <si>
    <t xml:space="preserve">  Low Bits of T3:IN18</t>
  </si>
  <si>
    <t>High Bits of T3: IN19</t>
  </si>
  <si>
    <t xml:space="preserve">  Low Bits of T3:IN19</t>
  </si>
  <si>
    <t>High Bits of T3: IN20</t>
  </si>
  <si>
    <t xml:space="preserve">  Low Bits of T3:IN20</t>
  </si>
  <si>
    <t>High Bits of T3: IN21</t>
  </si>
  <si>
    <t xml:space="preserve">  Low Bits of T3:IN21</t>
  </si>
  <si>
    <t>High Bits of T3: IN22</t>
  </si>
  <si>
    <t xml:space="preserve">  Low Bits of T3:IN22</t>
  </si>
  <si>
    <t>High Bits of T3: IN23</t>
  </si>
  <si>
    <t xml:space="preserve">  Low Bits of T3:IN23</t>
  </si>
  <si>
    <t>High Bits of T3: IN24</t>
  </si>
  <si>
    <t xml:space="preserve">  Low Bits of T3:IN24</t>
  </si>
  <si>
    <t>High Bits of T3: IN25</t>
  </si>
  <si>
    <t xml:space="preserve">  Low Bits of T3:IN25</t>
  </si>
  <si>
    <t>High Bits of T3: IN26</t>
  </si>
  <si>
    <t xml:space="preserve">  Low Bits of T3:IN26</t>
  </si>
  <si>
    <t>High Bits of T3: IN27</t>
  </si>
  <si>
    <t xml:space="preserve">  Low Bits of T3:IN27</t>
  </si>
  <si>
    <t>High Bits of T3: IN28</t>
  </si>
  <si>
    <t xml:space="preserve">  Low Bits of T3:IN28</t>
  </si>
  <si>
    <t>High Bits of T3: IN29</t>
  </si>
  <si>
    <t xml:space="preserve">  Low Bits of T3:IN29</t>
  </si>
  <si>
    <t>High Bits of T3: IN30</t>
  </si>
  <si>
    <t xml:space="preserve">  Low Bits of T3:IN30</t>
  </si>
  <si>
    <t>High Bits of T3: IN31</t>
  </si>
  <si>
    <t xml:space="preserve">  Low Bits of T3:IN31</t>
  </si>
  <si>
    <t>High Bits of T3: IN32</t>
  </si>
  <si>
    <t xml:space="preserve">  Low Bits of T3:IN32</t>
  </si>
  <si>
    <t>High Bits of T4: IN1</t>
  </si>
  <si>
    <t xml:space="preserve">  Low Bits of T4:IN1</t>
  </si>
  <si>
    <t>High Bits of T4: IN2</t>
  </si>
  <si>
    <t xml:space="preserve">  Low Bits of T4:IN2</t>
  </si>
  <si>
    <t>High Bits of T4: IN3</t>
  </si>
  <si>
    <t xml:space="preserve">  Low Bits of T4:IN3</t>
  </si>
  <si>
    <t>High Bits of T4: IN4</t>
  </si>
  <si>
    <t xml:space="preserve">  Low Bits of T4:IN4</t>
  </si>
  <si>
    <t>High Bits of T4: IN5</t>
  </si>
  <si>
    <t xml:space="preserve">  Low Bits of T4:IN5</t>
  </si>
  <si>
    <t>High Bits of T4: IN6</t>
  </si>
  <si>
    <t xml:space="preserve">  Low Bits of T4:IN6</t>
  </si>
  <si>
    <t>High Bits of T4: IN7</t>
  </si>
  <si>
    <t xml:space="preserve">  Low Bits of T4:IN7</t>
  </si>
  <si>
    <t>High Bits of T4: IN8</t>
  </si>
  <si>
    <t xml:space="preserve">  Low Bits of T4:IN8</t>
  </si>
  <si>
    <t>High Bits of T4: IN9</t>
  </si>
  <si>
    <t xml:space="preserve">  Low Bits of T4:IN9</t>
  </si>
  <si>
    <t>High Bits of T4: IN10</t>
  </si>
  <si>
    <t xml:space="preserve">  Low Bits of T4:IN10</t>
  </si>
  <si>
    <t>High Bits of T4: IN11</t>
  </si>
  <si>
    <t xml:space="preserve">  Low Bits of T4:IN11</t>
  </si>
  <si>
    <t>High Bits of T4: IN12</t>
  </si>
  <si>
    <t xml:space="preserve">  Low Bits of T4:IN12</t>
  </si>
  <si>
    <t>High Bits of T4: IN13</t>
  </si>
  <si>
    <t xml:space="preserve">  Low Bits of T4:IN13</t>
  </si>
  <si>
    <t>High Bits of T4: IN14</t>
  </si>
  <si>
    <t xml:space="preserve">  Low Bits of T4:IN14</t>
  </si>
  <si>
    <t>High Bits of T4: IN15</t>
  </si>
  <si>
    <t xml:space="preserve">  Low Bits of T4:IN15</t>
  </si>
  <si>
    <t>High Bits of T4: IN16</t>
  </si>
  <si>
    <t xml:space="preserve">  Low Bits of T4:IN16</t>
  </si>
  <si>
    <t>High Bits of T4: IN17</t>
  </si>
  <si>
    <t xml:space="preserve">  Low Bits of T4:IN17</t>
  </si>
  <si>
    <t>High Bits of T4: IN18</t>
  </si>
  <si>
    <t xml:space="preserve">  Low Bits of T4:IN18</t>
  </si>
  <si>
    <t>High Bits of T4: IN19</t>
  </si>
  <si>
    <t xml:space="preserve">  Low Bits of T4:IN19</t>
  </si>
  <si>
    <t>High Bits of T4: IN20</t>
  </si>
  <si>
    <t xml:space="preserve">  Low Bits of T4:IN20</t>
  </si>
  <si>
    <t>High Bits of T4: IN21</t>
  </si>
  <si>
    <t xml:space="preserve">  Low Bits of T4:IN21</t>
  </si>
  <si>
    <t>High Bits of T4: IN22</t>
  </si>
  <si>
    <t xml:space="preserve">  Low Bits of T4:IN22</t>
  </si>
  <si>
    <t>High Bits of T4: IN23</t>
  </si>
  <si>
    <t xml:space="preserve">  Low Bits of T4:IN23</t>
  </si>
  <si>
    <t>High Bits of T4: IN24</t>
  </si>
  <si>
    <t xml:space="preserve">  Low Bits of T4:IN24</t>
  </si>
  <si>
    <t>High Bits of T4: IN25</t>
  </si>
  <si>
    <t xml:space="preserve">  Low Bits of T4:IN25</t>
  </si>
  <si>
    <t>High Bits of T4: IN26</t>
  </si>
  <si>
    <t xml:space="preserve">  Low Bits of T4:IN26</t>
  </si>
  <si>
    <t>High Bits of T4: IN27</t>
  </si>
  <si>
    <t xml:space="preserve">  Low Bits of T4:IN27</t>
  </si>
  <si>
    <t>High Bits of T4: IN28</t>
  </si>
  <si>
    <t xml:space="preserve">  Low Bits of T4:IN28</t>
  </si>
  <si>
    <t>High Bits of T4: IN29</t>
  </si>
  <si>
    <t xml:space="preserve">  Low Bits of T4:IN29</t>
  </si>
  <si>
    <t>High Bits of T4: IN30</t>
  </si>
  <si>
    <t xml:space="preserve">  Low Bits of T4:IN30</t>
  </si>
  <si>
    <t>High Bits of T4: IN31</t>
  </si>
  <si>
    <t xml:space="preserve">  Low Bits of T4:IN31</t>
  </si>
  <si>
    <t>High Bits of T4: IN32</t>
  </si>
  <si>
    <t xml:space="preserve">  Low Bits of T4:IN32</t>
  </si>
  <si>
    <t>High Bits of T5: IN1</t>
  </si>
  <si>
    <t xml:space="preserve">  Low Bits of T5:IN1</t>
  </si>
  <si>
    <t>High Bits of T5: IN2</t>
  </si>
  <si>
    <t xml:space="preserve">  Low Bits of T5:IN2</t>
  </si>
  <si>
    <t>High Bits of T5: IN3</t>
  </si>
  <si>
    <t xml:space="preserve">  Low Bits of T5:IN3</t>
  </si>
  <si>
    <t>High Bits of T5: IN4</t>
  </si>
  <si>
    <t xml:space="preserve">  Low Bits of T5:IN4</t>
  </si>
  <si>
    <t>High Bits of T5: IN5</t>
  </si>
  <si>
    <t xml:space="preserve">  Low Bits of T5:IN5</t>
  </si>
  <si>
    <t>High Bits of T5: IN6</t>
  </si>
  <si>
    <t xml:space="preserve">  Low Bits of T5:IN6</t>
  </si>
  <si>
    <t>High Bits of T5: IN7</t>
  </si>
  <si>
    <t xml:space="preserve">  Low Bits of T5:IN7</t>
  </si>
  <si>
    <t>High Bits of T5: IN8</t>
  </si>
  <si>
    <t xml:space="preserve">  Low Bits of T5:IN8</t>
  </si>
  <si>
    <t>High Bits of T5: IN9</t>
  </si>
  <si>
    <t xml:space="preserve">  Low Bits of T5:IN9</t>
  </si>
  <si>
    <t>High Bits of T5: IN10</t>
  </si>
  <si>
    <t xml:space="preserve">  Low Bits of T5:IN10</t>
  </si>
  <si>
    <t>High Bits of T5: IN11</t>
  </si>
  <si>
    <t xml:space="preserve">  Low Bits of T5:IN11</t>
  </si>
  <si>
    <t>High Bits of T5: IN12</t>
  </si>
  <si>
    <t xml:space="preserve">  Low Bits of T5:IN12</t>
  </si>
  <si>
    <t>High Bits of T5: IN13</t>
  </si>
  <si>
    <t xml:space="preserve">  Low Bits of T5:IN13</t>
  </si>
  <si>
    <t>High Bits of T5: IN14</t>
  </si>
  <si>
    <t xml:space="preserve">  Low Bits of T5:IN14</t>
  </si>
  <si>
    <t>High Bits of T5: IN15</t>
  </si>
  <si>
    <t xml:space="preserve">  Low Bits of T5:IN15</t>
  </si>
  <si>
    <t>High Bits of T5: IN16</t>
  </si>
  <si>
    <t xml:space="preserve">  Low Bits of T5:IN16</t>
  </si>
  <si>
    <t>High Bits of T5: IN17</t>
  </si>
  <si>
    <t xml:space="preserve">  Low Bits of T5:IN17</t>
  </si>
  <si>
    <t>High Bits of T5: IN18</t>
  </si>
  <si>
    <t xml:space="preserve">  Low Bits of T5:IN18</t>
  </si>
  <si>
    <t>High Bits of T5: IN19</t>
  </si>
  <si>
    <t xml:space="preserve">  Low Bits of T5:IN19</t>
  </si>
  <si>
    <t>High Bits of T5: IN20</t>
  </si>
  <si>
    <t xml:space="preserve">  Low Bits of T5:IN20</t>
  </si>
  <si>
    <t>High Bits of T5: IN21</t>
  </si>
  <si>
    <t xml:space="preserve">  Low Bits of T5:IN21</t>
  </si>
  <si>
    <t>High Bits of T5: IN22</t>
  </si>
  <si>
    <t xml:space="preserve">  Low Bits of T5:IN22</t>
  </si>
  <si>
    <t>High Bits of T5: IN23</t>
  </si>
  <si>
    <t xml:space="preserve">  Low Bits of T5:IN23</t>
  </si>
  <si>
    <t>High Bits of T5: IN24</t>
  </si>
  <si>
    <t xml:space="preserve">  Low Bits of T5:IN24</t>
  </si>
  <si>
    <t>High Bits of T5: IN25</t>
  </si>
  <si>
    <t xml:space="preserve">  Low Bits of T5:IN25</t>
  </si>
  <si>
    <t>High Bits of T5: IN26</t>
  </si>
  <si>
    <t xml:space="preserve">  Low Bits of T5:IN26</t>
  </si>
  <si>
    <t>High Bits of T5: IN27</t>
  </si>
  <si>
    <t xml:space="preserve">  Low Bits of T5:IN27</t>
  </si>
  <si>
    <t>High Bits of T5: IN28</t>
  </si>
  <si>
    <t xml:space="preserve">  Low Bits of T5:IN28</t>
  </si>
  <si>
    <t>High Bits of T5: IN29</t>
  </si>
  <si>
    <t xml:space="preserve">  Low Bits of T5:IN29</t>
  </si>
  <si>
    <t>High Bits of T5: IN30</t>
  </si>
  <si>
    <t xml:space="preserve">  Low Bits of T5:IN30</t>
  </si>
  <si>
    <t>High Bits of T5: IN31</t>
  </si>
  <si>
    <t xml:space="preserve">  Low Bits of T5:IN31</t>
  </si>
  <si>
    <t>High Bits of T5: IN32</t>
  </si>
  <si>
    <t xml:space="preserve">  Low Bits of T5:IN32</t>
  </si>
  <si>
    <r>
      <t xml:space="preserve">PID #1 </t>
    </r>
    <r>
      <rPr>
        <sz val="11"/>
        <color theme="1"/>
        <rFont val="Lucida Console"/>
        <family val="3"/>
      </rPr>
      <t>(all values are 32 bit floating point)</t>
    </r>
  </si>
  <si>
    <t>ENABLE (0 = Disable, 1 = Enable)</t>
  </si>
  <si>
    <t>P-Factor</t>
  </si>
  <si>
    <t>I-Factor</t>
  </si>
  <si>
    <t>D-Factor</t>
  </si>
  <si>
    <t>Max limit</t>
  </si>
  <si>
    <t>Min limit</t>
  </si>
  <si>
    <t>Input Terminal (1 - 5)</t>
  </si>
  <si>
    <t>Input Channel (1 - 32)</t>
  </si>
  <si>
    <t>Output Terminal (1 - 5)</t>
  </si>
  <si>
    <t>Output Channel (1 - 4)</t>
  </si>
  <si>
    <t>Deadband</t>
  </si>
  <si>
    <t>Setpoint</t>
  </si>
  <si>
    <r>
      <t xml:space="preserve">PID #2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</si>
  <si>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#3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</si>
  <si>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#4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</si>
  <si>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#5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</si>
  <si>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#6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</si>
  <si>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#7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</si>
  <si>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#8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</si>
  <si>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#9 </t>
    </r>
    <r>
      <rPr>
        <sz val="11"/>
        <color theme="1"/>
        <rFont val="Lucida Console"/>
        <family val="3"/>
      </rPr>
      <t>(all values are 32 bit floating point)</t>
    </r>
  </si>
  <si>
    <r>
      <t xml:space="preserve">PID #10 </t>
    </r>
    <r>
      <rPr>
        <sz val="11"/>
        <color theme="1"/>
        <rFont val="Lucida Console"/>
        <family val="3"/>
      </rPr>
      <t>(all values are 32 bit floating point)</t>
    </r>
  </si>
  <si>
    <t>Main Key Command Register
Write 1 for Start
Write 2 for Reset
Write 3 for Stop
Write 4 for Cancel Timers</t>
  </si>
  <si>
    <t>Start Key Command (write any value to start)</t>
  </si>
  <si>
    <t>Reset Key Command (write any value to reset)</t>
  </si>
  <si>
    <t>Stop Key Command (write any value to stop)</t>
  </si>
  <si>
    <t>Cancel Timers Key Command (write any value to Cancel Timers)</t>
  </si>
  <si>
    <t>Global/Control (all values are 32 bit floats)</t>
  </si>
  <si>
    <t>Input #1 Enable</t>
  </si>
  <si>
    <t>Input #2 Enable</t>
  </si>
  <si>
    <t>Input #1 0% Output</t>
  </si>
  <si>
    <t>Input #1 100% Output</t>
  </si>
  <si>
    <t>Input #2 0% Output</t>
  </si>
  <si>
    <t>Input #2 100% Output</t>
  </si>
  <si>
    <t>Input #1 Linear/PID (0 = Linear, 1 = PID)</t>
  </si>
  <si>
    <t>Input #2 Linear/PID (0 = Linear, 1 = PID)</t>
  </si>
  <si>
    <t>Input #1 Terminal (1 - 5)</t>
  </si>
  <si>
    <t>Input #1 Channel (1 - 32)</t>
  </si>
  <si>
    <t>Input #2 Terminal (1 - 5)</t>
  </si>
  <si>
    <t>Input #2 Channel (1 - 32)</t>
  </si>
  <si>
    <t>Output #1 Terminal (1 - 5)</t>
  </si>
  <si>
    <t>Output #1 Channel (1 - 4)</t>
  </si>
  <si>
    <t>Output #2 Terminal (1 - 5)</t>
  </si>
  <si>
    <t>Output #2 Channel (1 - 4)</t>
  </si>
  <si>
    <t>Output #1 Low</t>
  </si>
  <si>
    <t>Output #1 High</t>
  </si>
  <si>
    <t>Output #2 Low</t>
  </si>
  <si>
    <t>Output #2 High</t>
  </si>
  <si>
    <t>Output #1 Ramp Rate</t>
  </si>
  <si>
    <t>Output #2 Ramp Rate</t>
  </si>
  <si>
    <t>Output #1 Reverse Action (0 = Normal, 1 = Reverse)</t>
  </si>
  <si>
    <t>Output #2 Reverse Action (0 = Normal, 1 = Reverse)</t>
  </si>
  <si>
    <t>Input #1 P-Factor</t>
  </si>
  <si>
    <t>Input #1 I-Factor</t>
  </si>
  <si>
    <t>Input #1 D-Factor</t>
  </si>
  <si>
    <t>Input #2 P-Factor</t>
  </si>
  <si>
    <t>Input #2 I-Factor</t>
  </si>
  <si>
    <t>Input #2 D-Factor</t>
  </si>
  <si>
    <t>Auto/Manual Toggle Input Terminal (1 - 5)</t>
  </si>
  <si>
    <t>Auto/Manual Toggle Input Channel (1 - 32)</t>
  </si>
  <si>
    <t>SpeedControl Mode (0 = Manual, 1 = Auto)</t>
  </si>
  <si>
    <t>Manual Speed (value in RPM)</t>
  </si>
  <si>
    <t>41001 - 41998</t>
  </si>
  <si>
    <t>Register Mirror Test Area (Any value written to these registers will be able to be read starting at register 30001. For example you can write a 32 bit value at 41001,41002 and read it at 30001, 30002)</t>
  </si>
  <si>
    <t>Term 1, Input 1 High Safety Setpoint</t>
  </si>
  <si>
    <t>Term 1, Input 1 Low Safety Setpoint</t>
  </si>
  <si>
    <t>Term 1, Input 2 High Safety Setpoint</t>
  </si>
  <si>
    <t>Term 1, Input 2 Low Safety Setpoint</t>
  </si>
  <si>
    <t>Term 1, Input 3 High Safety Setpoint</t>
  </si>
  <si>
    <t>Term 1, Input 3 Low Safety Setpoint</t>
  </si>
  <si>
    <t>Term 1, Input 4 High Safety Setpoint</t>
  </si>
  <si>
    <t>Term 1, Input 4 Low Safety Setpoint</t>
  </si>
  <si>
    <t>Term 1, Input 5 High Safety Setpoint</t>
  </si>
  <si>
    <t>Term 1, Input 5 Low Safety Setpoint</t>
  </si>
  <si>
    <t>Term 1, Input 6 High Safety Setpoint</t>
  </si>
  <si>
    <t>Term 1, Input 6 Low Safety Setpoint</t>
  </si>
  <si>
    <t>Term 1, Input 7 High Safety Setpoint</t>
  </si>
  <si>
    <t>Term 1, Input 7 Low Safety Setpoint</t>
  </si>
  <si>
    <t>Term 1, Input 8 High Safety Setpoint</t>
  </si>
  <si>
    <t>Term 1, Input 8 Low Safety Setpoint</t>
  </si>
  <si>
    <t>Term 1, Input 9 High Safety Setpoint</t>
  </si>
  <si>
    <t>Term 1, Input 9 Low Safety Setpoint</t>
  </si>
  <si>
    <t>Term 1, Input 10 High Safety Setpoint</t>
  </si>
  <si>
    <t>Term 1, Input 10 Low Safety Setpoint</t>
  </si>
  <si>
    <t>Term 1, Input 11 High Safety Setpoint</t>
  </si>
  <si>
    <t>Term 1, Input 11 Low Safety Setpoint</t>
  </si>
  <si>
    <t>Term 1, Input 12 High Safety Setpoint</t>
  </si>
  <si>
    <t>Term 1, Input 12 Low Safety Setpoint</t>
  </si>
  <si>
    <t>Term 1, Input 13 High Safety Setpoint</t>
  </si>
  <si>
    <t>Term 1, Input 13 Low Safety Setpoint</t>
  </si>
  <si>
    <t>Term 1, Input 14 High Safety Setpoint</t>
  </si>
  <si>
    <t>Term 1, Input 14 Low Safety Setpoint</t>
  </si>
  <si>
    <t>Term 1, Input 15 High Safety Setpoint</t>
  </si>
  <si>
    <t>Term 1, Input 15 Low Safety Setpoint</t>
  </si>
  <si>
    <t>Term 1, Input 16 High Safety Setpoint</t>
  </si>
  <si>
    <t>Term 1, Input 16 Low Safety Setpoint</t>
  </si>
  <si>
    <t>Term 1, Input 17 High Safety Setpoint</t>
  </si>
  <si>
    <t>Term 1, Input 17 Low Safety Setpoint</t>
  </si>
  <si>
    <t>Term 1, Input 18 High Safety Setpoint</t>
  </si>
  <si>
    <t>Term 1, Input 18 Low Safety Setpoint</t>
  </si>
  <si>
    <t>Term 1, Input 19 High Safety Setpoint</t>
  </si>
  <si>
    <t>Term 1, Input 19 Low Safety Setpoint</t>
  </si>
  <si>
    <t>Term 1, Input 20 High Safety Setpoint</t>
  </si>
  <si>
    <t>Term 1, Input 20 Low Safety Setpoint</t>
  </si>
  <si>
    <t>Term 1, Input 21 High Safety Setpoint</t>
  </si>
  <si>
    <t>Term 1, Input 21 Low Safety Setpoint</t>
  </si>
  <si>
    <t>Term 1, Input 22 High Safety Setpoint</t>
  </si>
  <si>
    <t>Term 1, Input 22 Low Safety Setpoint</t>
  </si>
  <si>
    <t>Term 1, Input 23 High Safety Setpoint</t>
  </si>
  <si>
    <t>Term 1, Input 23 Low Safety Setpoint</t>
  </si>
  <si>
    <t>Term 1, Input 24 High Safety Setpoint</t>
  </si>
  <si>
    <t>Term 1, Input 24 Low Safety Setpoint</t>
  </si>
  <si>
    <t>Term 1, Input 25 High Safety Setpoint</t>
  </si>
  <si>
    <t>Term 1, Input 25 Low Safety Setpoint</t>
  </si>
  <si>
    <t>Term 1, Input 26 High Safety Setpoint</t>
  </si>
  <si>
    <t>Term 1, Input 26 Low Safety Setpoint</t>
  </si>
  <si>
    <t>Term 1, Input 27 High Safety Setpoint</t>
  </si>
  <si>
    <t>Term 1, Input 27 Low Safety Setpoint</t>
  </si>
  <si>
    <t>Term 1, Input 28 High Safety Setpoint</t>
  </si>
  <si>
    <t>Term 1, Input 28 Low Safety Setpoint</t>
  </si>
  <si>
    <t>Term 1, Input 29 High Safety Setpoint</t>
  </si>
  <si>
    <t>Term 1, Input 29 Low Safety Setpoint</t>
  </si>
  <si>
    <t>Term 1, Input 30 High Safety Setpoint</t>
  </si>
  <si>
    <t>Term 1, Input 30 Low Safety Setpoint</t>
  </si>
  <si>
    <t>Term 1, Input 31 High Safety Setpoint</t>
  </si>
  <si>
    <t>Term 1, Input 31 Low Safety Setpoint</t>
  </si>
  <si>
    <t>Term 1, Input 32 High Safety Setpoint</t>
  </si>
  <si>
    <t>Term 1, Input 32 Low Safety Setpoint</t>
  </si>
  <si>
    <t>Term 2, Input 1 High Safety Setpoint</t>
  </si>
  <si>
    <t>Term 2, Input 1 Low Safety Setpoint</t>
  </si>
  <si>
    <t>Term 2, Input 2 High Safety Setpoint</t>
  </si>
  <si>
    <t>Term 2, Input 2 Low Safety Setpoint</t>
  </si>
  <si>
    <t>Term 2, Input 3 High Safety Setpoint</t>
  </si>
  <si>
    <t>Term 2, Input 3 Low Safety Setpoint</t>
  </si>
  <si>
    <t>Term 2, Input 4 High Safety Setpoint</t>
  </si>
  <si>
    <t>Term 2, Input 4 Low Safety Setpoint</t>
  </si>
  <si>
    <t>Term 2, Input 5 High Safety Setpoint</t>
  </si>
  <si>
    <t>Term 2, Input 5 Low Safety Setpoint</t>
  </si>
  <si>
    <t>Term 2, Input 6 High Safety Setpoint</t>
  </si>
  <si>
    <t>Term 2, Input 6 Low Safety Setpoint</t>
  </si>
  <si>
    <t>Term 2, Input 7 High Safety Setpoint</t>
  </si>
  <si>
    <t>Term 2, Input 7 Low Safety Setpoint</t>
  </si>
  <si>
    <t>Term 2, Input 8 High Safety Setpoint</t>
  </si>
  <si>
    <t>Term 2, Input 8 Low Safety Setpoint</t>
  </si>
  <si>
    <t>Term 2, Input 9 High Safety Setpoint</t>
  </si>
  <si>
    <t>Term 2, Input 9 Low Safety Setpoint</t>
  </si>
  <si>
    <t>Term 2, Input 10 High Safety Setpoint</t>
  </si>
  <si>
    <t>Term 2, Input 10 Low Safety Setpoint</t>
  </si>
  <si>
    <t>Term 2, Input 11 High Safety Setpoint</t>
  </si>
  <si>
    <t>Term 2, Input 11 Low Safety Setpoint</t>
  </si>
  <si>
    <t>Term 2, Input 12 High Safety Setpoint</t>
  </si>
  <si>
    <t>Term 2, Input 12 Low Safety Setpoint</t>
  </si>
  <si>
    <t>Term 2, Input 13 High Safety Setpoint</t>
  </si>
  <si>
    <t>Term 2, Input 13 Low Safety Setpoint</t>
  </si>
  <si>
    <t>Term 2, Input 14 High Safety Setpoint</t>
  </si>
  <si>
    <t>Term 2, Input 14 Low Safety Setpoint</t>
  </si>
  <si>
    <t>Term 2, Input 15 High Safety Setpoint</t>
  </si>
  <si>
    <t>Term 2, Input 15 Low Safety Setpoint</t>
  </si>
  <si>
    <t>Term 2, Input 16 High Safety Setpoint</t>
  </si>
  <si>
    <t>Term 2, Input 16 Low Safety Setpoint</t>
  </si>
  <si>
    <t>Term 2, Input 17 High Safety Setpoint</t>
  </si>
  <si>
    <t>Term 2, Input 17 Low Safety Setpoint</t>
  </si>
  <si>
    <t>Term 2, Input 18 High Safety Setpoint</t>
  </si>
  <si>
    <t>Term 2, Input 18 Low Safety Setpoint</t>
  </si>
  <si>
    <t>Term 2, Input 19 High Safety Setpoint</t>
  </si>
  <si>
    <t>Term 2, Input 19 Low Safety Setpoint</t>
  </si>
  <si>
    <t>Term 2, Input 20 High Safety Setpoint</t>
  </si>
  <si>
    <t>Term 2, Input 20 Low Safety Setpoint</t>
  </si>
  <si>
    <t>Term 2, Input 21 High Safety Setpoint</t>
  </si>
  <si>
    <t>Term 2, Input 21 Low Safety Setpoint</t>
  </si>
  <si>
    <t>Term 2, Input 22 High Safety Setpoint</t>
  </si>
  <si>
    <t>Term 2, Input 22 Low Safety Setpoint</t>
  </si>
  <si>
    <t>Term 2, Input 23 High Safety Setpoint</t>
  </si>
  <si>
    <t>Term 2, Input 23 Low Safety Setpoint</t>
  </si>
  <si>
    <t>Term 2, Input 24 High Safety Setpoint</t>
  </si>
  <si>
    <t>Term 2, Input 24 Low Safety Setpoint</t>
  </si>
  <si>
    <t>Term 2, Input 25 High Safety Setpoint</t>
  </si>
  <si>
    <t>Term 2, Input 25 Low Safety Setpoint</t>
  </si>
  <si>
    <t>Term 2, Input 26 High Safety Setpoint</t>
  </si>
  <si>
    <t>Term 2, Input 26 Low Safety Setpoint</t>
  </si>
  <si>
    <t>Term 2, Input 27 High Safety Setpoint</t>
  </si>
  <si>
    <t>Term 2, Input 27 Low Safety Setpoint</t>
  </si>
  <si>
    <t>Term 2, Input 28 High Safety Setpoint</t>
  </si>
  <si>
    <t>Term 2, Input 28 Low Safety Setpoint</t>
  </si>
  <si>
    <t>Term 2, Input 29 High Safety Setpoint</t>
  </si>
  <si>
    <t>Term 2, Input 29 Low Safety Setpoint</t>
  </si>
  <si>
    <t>Term 2, Input 30 High Safety Setpoint</t>
  </si>
  <si>
    <t>Term 2, Input 30 Low Safety Setpoint</t>
  </si>
  <si>
    <t>Term 2, Input 31 High Safety Setpoint</t>
  </si>
  <si>
    <t>Term 2, Input 31 Low Safety Setpoint</t>
  </si>
  <si>
    <t>Term 2, Input 32 High Safety Setpoint</t>
  </si>
  <si>
    <t>Term 2, Input 32 Low Safety Setpoint</t>
  </si>
  <si>
    <t>Terminal Board Quantity:</t>
  </si>
  <si>
    <t xml:space="preserve"> </t>
  </si>
  <si>
    <t>Quote #:</t>
  </si>
  <si>
    <t>SAP #:</t>
  </si>
  <si>
    <t>DWG #:</t>
  </si>
  <si>
    <t>TERMINAL BOARD 1 I/O</t>
  </si>
  <si>
    <t>INPUT #</t>
  </si>
  <si>
    <t>INPUT NAME / FUNCTION</t>
  </si>
  <si>
    <t>SWITCH CONFIGURATION</t>
  </si>
  <si>
    <t>4-20mA</t>
  </si>
  <si>
    <t>0-5VDC (ANALOG)</t>
  </si>
  <si>
    <t>J/K T/C</t>
  </si>
  <si>
    <t>N/C DI</t>
  </si>
  <si>
    <t>N/O DI</t>
  </si>
  <si>
    <t>NOT USED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</si>
  <si>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</si>
  <si>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</si>
  <si>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</si>
  <si>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</si>
  <si>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</si>
  <si>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</si>
  <si>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</si>
  <si>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</si>
  <si>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</si>
  <si>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</si>
  <si>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</si>
  <si>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</si>
  <si>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</si>
  <si>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</si>
  <si>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</si>
  <si>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IN16</t>
  </si>
  <si>
    <t>IN17</t>
  </si>
  <si>
    <t>IN18</t>
  </si>
  <si>
    <t>IN19</t>
  </si>
  <si>
    <t>IN20</t>
  </si>
  <si>
    <t>IN21</t>
  </si>
  <si>
    <t>IN22</t>
  </si>
  <si>
    <t>IN23</t>
  </si>
  <si>
    <t>IN24</t>
  </si>
  <si>
    <t>IN25</t>
  </si>
  <si>
    <t>IN26</t>
  </si>
  <si>
    <t>IN27</t>
  </si>
  <si>
    <t>IN28</t>
  </si>
  <si>
    <t>IN29</t>
  </si>
  <si>
    <t>IN30</t>
  </si>
  <si>
    <t>IN31</t>
  </si>
  <si>
    <t>IN32</t>
  </si>
  <si>
    <t>AO1</t>
  </si>
  <si>
    <t>AO2</t>
  </si>
  <si>
    <t>AO3</t>
  </si>
  <si>
    <t>AO4</t>
  </si>
  <si>
    <t>DO1</t>
  </si>
  <si>
    <t>DO2</t>
  </si>
  <si>
    <t>DO3</t>
  </si>
  <si>
    <t>DO4</t>
  </si>
  <si>
    <t>DO5</t>
  </si>
  <si>
    <t>DO6</t>
  </si>
  <si>
    <t>DO7</t>
  </si>
  <si>
    <t>DO8</t>
  </si>
  <si>
    <t>RPM1</t>
  </si>
  <si>
    <t>RPM2</t>
  </si>
  <si>
    <t>OUTPUT #</t>
  </si>
  <si>
    <t>TERMINAL BOARD 5 I/O</t>
  </si>
  <si>
    <t>TERMINAL BOARD 4 I/O</t>
  </si>
  <si>
    <t>TERMINAL BOARD 3 I/O</t>
  </si>
  <si>
    <t>TERMINAL BOARD 2 I/O</t>
  </si>
  <si>
    <t>OUTPUT NAME / FUNCTION</t>
  </si>
  <si>
    <t>CONTROL BOARD OUTPUTS</t>
  </si>
  <si>
    <t>DS1</t>
  </si>
  <si>
    <t>DS2</t>
  </si>
  <si>
    <t>DS3</t>
  </si>
  <si>
    <t>DS4</t>
  </si>
  <si>
    <t>Term 3, Input 1 High Safety Setpoint</t>
  </si>
  <si>
    <t>Term 3, Input 1 Low Safety Setpoint</t>
  </si>
  <si>
    <t>Term 3, Input 2 High Safety Setpoint</t>
  </si>
  <si>
    <t>Term 3, Input 2 Low Safety Setpoint</t>
  </si>
  <si>
    <t>Term 3, Input 3 High Safety Setpoint</t>
  </si>
  <si>
    <t>Term 3, Input 3 Low Safety Setpoint</t>
  </si>
  <si>
    <t>Term 3, Input 4 High Safety Setpoint</t>
  </si>
  <si>
    <t>Term 3, Input 4 Low Safety Setpoint</t>
  </si>
  <si>
    <t>Term 3, Input 5 High Safety Setpoint</t>
  </si>
  <si>
    <t>Term 3, Input 5 Low Safety Setpoint</t>
  </si>
  <si>
    <t>Term 3, Input 6 High Safety Setpoint</t>
  </si>
  <si>
    <t>Term 3, Input 6 Low Safety Setpoint</t>
  </si>
  <si>
    <t>Term 3, Input 7 High Safety Setpoint</t>
  </si>
  <si>
    <t>Term 3, Input 7 Low Safety Setpoint</t>
  </si>
  <si>
    <t>Term 3, Input 8 High Safety Setpoint</t>
  </si>
  <si>
    <t>Term 3, Input 8 Low Safety Setpoint</t>
  </si>
  <si>
    <t>Term 3, Input 9 High Safety Setpoint</t>
  </si>
  <si>
    <t>Term 3, Input 9 Low Safety Setpoint</t>
  </si>
  <si>
    <t>Term 3, Input 10 High Safety Setpoint</t>
  </si>
  <si>
    <t>Term 3, Input 10 Low Safety Setpoint</t>
  </si>
  <si>
    <t>Term 3, Input 11 High Safety Setpoint</t>
  </si>
  <si>
    <t>Term 3, Input 11 Low Safety Setpoint</t>
  </si>
  <si>
    <t>Term 3, Input 12 High Safety Setpoint</t>
  </si>
  <si>
    <t>Term 3, Input 12 Low Safety Setpoint</t>
  </si>
  <si>
    <t>Term 3, Input 13 High Safety Setpoint</t>
  </si>
  <si>
    <t>Term 3, Input 13 Low Safety Setpoint</t>
  </si>
  <si>
    <t>Term 3, Input 14 High Safety Setpoint</t>
  </si>
  <si>
    <t>Term 3, Input 14 Low Safety Setpoint</t>
  </si>
  <si>
    <t>Term 3, Input 15 High Safety Setpoint</t>
  </si>
  <si>
    <t>Term 3, Input 15 Low Safety Setpoint</t>
  </si>
  <si>
    <t>Term 3, Input 16 High Safety Setpoint</t>
  </si>
  <si>
    <t>Term 3, Input 16 Low Safety Setpoint</t>
  </si>
  <si>
    <t>Term 3, Input 17 High Safety Setpoint</t>
  </si>
  <si>
    <t>Term 3, Input 17 Low Safety Setpoint</t>
  </si>
  <si>
    <t>Term 3, Input 18 High Safety Setpoint</t>
  </si>
  <si>
    <t>Term 3, Input 18 Low Safety Setpoint</t>
  </si>
  <si>
    <t>Term 3, Input 19 High Safety Setpoint</t>
  </si>
  <si>
    <t>Term 3, Input 19 Low Safety Setpoint</t>
  </si>
  <si>
    <t>Term 3, Input 20 High Safety Setpoint</t>
  </si>
  <si>
    <t>Term 3, Input 20 Low Safety Setpoint</t>
  </si>
  <si>
    <t>Term 3, Input 21 High Safety Setpoint</t>
  </si>
  <si>
    <t>Term 3, Input 21 Low Safety Setpoint</t>
  </si>
  <si>
    <t>Term 3, Input 22 High Safety Setpoint</t>
  </si>
  <si>
    <t>Term 3, Input 22 Low Safety Setpoint</t>
  </si>
  <si>
    <t>Term 3, Input 23 High Safety Setpoint</t>
  </si>
  <si>
    <t>Term 3, Input 23 Low Safety Setpoint</t>
  </si>
  <si>
    <t>Term 3, Input 24 High Safety Setpoint</t>
  </si>
  <si>
    <t>Term 3, Input 24 Low Safety Setpoint</t>
  </si>
  <si>
    <t>Term 3, Input 25 High Safety Setpoint</t>
  </si>
  <si>
    <t>Term 3, Input 25 Low Safety Setpoint</t>
  </si>
  <si>
    <t>Term 3, Input 26 High Safety Setpoint</t>
  </si>
  <si>
    <t>Term 3, Input 26 Low Safety Setpoint</t>
  </si>
  <si>
    <t>Term 3, Input 27 High Safety Setpoint</t>
  </si>
  <si>
    <t>Term 3, Input 27 Low Safety Setpoint</t>
  </si>
  <si>
    <t>Term 3, Input 28 High Safety Setpoint</t>
  </si>
  <si>
    <t>Term 3, Input 28 Low Safety Setpoint</t>
  </si>
  <si>
    <t>Term 3, Input 29 High Safety Setpoint</t>
  </si>
  <si>
    <t>Term 3, Input 29 Low Safety Setpoint</t>
  </si>
  <si>
    <t>Term 3, Input 30 High Safety Setpoint</t>
  </si>
  <si>
    <t>Term 3, Input 30 Low Safety Setpoint</t>
  </si>
  <si>
    <t>Term 3, Input 31 High Safety Setpoint</t>
  </si>
  <si>
    <t>Term 3, Input 31 Low Safety Setpoint</t>
  </si>
  <si>
    <t>Term 3, Input 32 High Safety Setpoint</t>
  </si>
  <si>
    <t>Term 3, Input 32 Low Safety Setpoint</t>
  </si>
  <si>
    <t>Term 4, Input 1 High Safety Setpoint</t>
  </si>
  <si>
    <t>Term 4, Input 1 Low Safety Setpoint</t>
  </si>
  <si>
    <t>Term 4, Input 2 High Safety Setpoint</t>
  </si>
  <si>
    <t>Term 4, Input 2 Low Safety Setpoint</t>
  </si>
  <si>
    <t>Term 4, Input 3 High Safety Setpoint</t>
  </si>
  <si>
    <t>Term 4, Input 3 Low Safety Setpoint</t>
  </si>
  <si>
    <t>Term 4, Input 4 High Safety Setpoint</t>
  </si>
  <si>
    <t>Term 4, Input 4 Low Safety Setpoint</t>
  </si>
  <si>
    <t>Term 4, Input 5 High Safety Setpoint</t>
  </si>
  <si>
    <t>Term 4, Input 5 Low Safety Setpoint</t>
  </si>
  <si>
    <t>Term 4, Input 6 High Safety Setpoint</t>
  </si>
  <si>
    <t>Term 4, Input 6 Low Safety Setpoint</t>
  </si>
  <si>
    <t>Term 4, Input 7 High Safety Setpoint</t>
  </si>
  <si>
    <t>Term 4, Input 7 Low Safety Setpoint</t>
  </si>
  <si>
    <t>Term 4, Input 8 High Safety Setpoint</t>
  </si>
  <si>
    <t>Term 4, Input 8 Low Safety Setpoint</t>
  </si>
  <si>
    <t>Term 4, Input 9 High Safety Setpoint</t>
  </si>
  <si>
    <t>Term 4, Input 9 Low Safety Setpoint</t>
  </si>
  <si>
    <t>Term 4, Input 10 High Safety Setpoint</t>
  </si>
  <si>
    <t>Term 4, Input 10 Low Safety Setpoint</t>
  </si>
  <si>
    <t>Term 4, Input 11 High Safety Setpoint</t>
  </si>
  <si>
    <t>Term 4, Input 11 Low Safety Setpoint</t>
  </si>
  <si>
    <t>Term 4, Input 12 High Safety Setpoint</t>
  </si>
  <si>
    <t>Term 4, Input 12 Low Safety Setpoint</t>
  </si>
  <si>
    <t>Term 4, Input 13 High Safety Setpoint</t>
  </si>
  <si>
    <t>Term 4, Input 13 Low Safety Setpoint</t>
  </si>
  <si>
    <t>Term 4, Input 14 High Safety Setpoint</t>
  </si>
  <si>
    <t>Term 4, Input 14 Low Safety Setpoint</t>
  </si>
  <si>
    <t>Term 4, Input 15 High Safety Setpoint</t>
  </si>
  <si>
    <t>Term 4, Input 15 Low Safety Setpoint</t>
  </si>
  <si>
    <t>Term 4, Input 16 High Safety Setpoint</t>
  </si>
  <si>
    <t>Term 4, Input 16 Low Safety Setpoint</t>
  </si>
  <si>
    <t>Term 4, Input 17 High Safety Setpoint</t>
  </si>
  <si>
    <t>Term 4, Input 17 Low Safety Setpoint</t>
  </si>
  <si>
    <t>Term 4, Input 18 High Safety Setpoint</t>
  </si>
  <si>
    <t>Term 4, Input 18 Low Safety Setpoint</t>
  </si>
  <si>
    <t>Term 4, Input 19 High Safety Setpoint</t>
  </si>
  <si>
    <t>Term 4, Input 19 Low Safety Setpoint</t>
  </si>
  <si>
    <t>Term 4, Input 20 High Safety Setpoint</t>
  </si>
  <si>
    <t>Term 4, Input 20 Low Safety Setpoint</t>
  </si>
  <si>
    <t>Term 4, Input 21 High Safety Setpoint</t>
  </si>
  <si>
    <t>Term 4, Input 21 Low Safety Setpoint</t>
  </si>
  <si>
    <t>Term 4, Input 22 High Safety Setpoint</t>
  </si>
  <si>
    <t>Term 4, Input 22 Low Safety Setpoint</t>
  </si>
  <si>
    <t>Term 4, Input 23 High Safety Setpoint</t>
  </si>
  <si>
    <t>Term 4, Input 23 Low Safety Setpoint</t>
  </si>
  <si>
    <t>Term 4, Input 24 High Safety Setpoint</t>
  </si>
  <si>
    <t>Term 4, Input 24 Low Safety Setpoint</t>
  </si>
  <si>
    <t>Term 4, Input 25 High Safety Setpoint</t>
  </si>
  <si>
    <t>Term 4, Input 25 Low Safety Setpoint</t>
  </si>
  <si>
    <t>Term 4, Input 26 High Safety Setpoint</t>
  </si>
  <si>
    <t>Term 4, Input 26 Low Safety Setpoint</t>
  </si>
  <si>
    <t>Term 4, Input 27 High Safety Setpoint</t>
  </si>
  <si>
    <t>Term 4, Input 27 Low Safety Setpoint</t>
  </si>
  <si>
    <t>Term 4, Input 28 High Safety Setpoint</t>
  </si>
  <si>
    <t>Term 4, Input 28 Low Safety Setpoint</t>
  </si>
  <si>
    <t>Term 4, Input 29 High Safety Setpoint</t>
  </si>
  <si>
    <t>Term 4, Input 29 Low Safety Setpoint</t>
  </si>
  <si>
    <t>Term 4, Input 30 High Safety Setpoint</t>
  </si>
  <si>
    <t>Term 4, Input 30 Low Safety Setpoint</t>
  </si>
  <si>
    <t>Term 4, Input 31 High Safety Setpoint</t>
  </si>
  <si>
    <t>Term 4, Input 31 Low Safety Setpoint</t>
  </si>
  <si>
    <t>Term 4, Input 32 High Safety Setpoint</t>
  </si>
  <si>
    <t>Term 4, Input 32 Low Safety Setpoint</t>
  </si>
  <si>
    <t>Term 5, Input 1 High Safety Setpoint</t>
  </si>
  <si>
    <t>Term 5, Input 1 Low Safety Setpoint</t>
  </si>
  <si>
    <t>Term 5, Input 2 High Safety Setpoint</t>
  </si>
  <si>
    <t>Term 5, Input 2 Low Safety Setpoint</t>
  </si>
  <si>
    <t>Term 5, Input 3 High Safety Setpoint</t>
  </si>
  <si>
    <t>Term 5, Input 3 Low Safety Setpoint</t>
  </si>
  <si>
    <t>Term 5, Input 4 High Safety Setpoint</t>
  </si>
  <si>
    <t>Term 5, Input 4 Low Safety Setpoint</t>
  </si>
  <si>
    <t>Term 5, Input 5 High Safety Setpoint</t>
  </si>
  <si>
    <t>Term 5, Input 5 Low Safety Setpoint</t>
  </si>
  <si>
    <t>Term 5, Input 6 High Safety Setpoint</t>
  </si>
  <si>
    <t>Term 5, Input 6 Low Safety Setpoint</t>
  </si>
  <si>
    <t>Term 5, Input 7 High Safety Setpoint</t>
  </si>
  <si>
    <t>Term 5, Input 7 Low Safety Setpoint</t>
  </si>
  <si>
    <t>Term 5, Input 8 High Safety Setpoint</t>
  </si>
  <si>
    <t>Term 5, Input 8 Low Safety Setpoint</t>
  </si>
  <si>
    <t>Term 5, Input 9 High Safety Setpoint</t>
  </si>
  <si>
    <t>Term 5, Input 9 Low Safety Setpoint</t>
  </si>
  <si>
    <t>Term 5, Input 10 High Safety Setpoint</t>
  </si>
  <si>
    <t>Term 5, Input 10 Low Safety Setpoint</t>
  </si>
  <si>
    <t>Term 5, Input 11 High Safety Setpoint</t>
  </si>
  <si>
    <t>Term 5, Input 11 Low Safety Setpoint</t>
  </si>
  <si>
    <t>Term 5, Input 12 High Safety Setpoint</t>
  </si>
  <si>
    <t>Term 5, Input 12 Low Safety Setpoint</t>
  </si>
  <si>
    <t>Term 5, Input 13 High Safety Setpoint</t>
  </si>
  <si>
    <t>Term 5, Input 13 Low Safety Setpoint</t>
  </si>
  <si>
    <t>Term 5, Input 14 High Safety Setpoint</t>
  </si>
  <si>
    <t>Term 5, Input 14 Low Safety Setpoint</t>
  </si>
  <si>
    <t>Term 5, Input 15 High Safety Setpoint</t>
  </si>
  <si>
    <t>Term 5, Input 15 Low Safety Setpoint</t>
  </si>
  <si>
    <t>Term 5, Input 16 High Safety Setpoint</t>
  </si>
  <si>
    <t>Term 5, Input 16 Low Safety Setpoint</t>
  </si>
  <si>
    <t>Term 5, Input 17 High Safety Setpoint</t>
  </si>
  <si>
    <t>Term 5, Input 17 Low Safety Setpoint</t>
  </si>
  <si>
    <t>Term 5, Input 18 High Safety Setpoint</t>
  </si>
  <si>
    <t>Term 5, Input 18 Low Safety Setpoint</t>
  </si>
  <si>
    <t>Term 5, Input 19 High Safety Setpoint</t>
  </si>
  <si>
    <t>Term 5, Input 19 Low Safety Setpoint</t>
  </si>
  <si>
    <t>Term 5, Input 20 High Safety Setpoint</t>
  </si>
  <si>
    <t>Term 5, Input 20 Low Safety Setpoint</t>
  </si>
  <si>
    <t>Term 5, Input 21 High Safety Setpoint</t>
  </si>
  <si>
    <t>Term 5, Input 21 Low Safety Setpoint</t>
  </si>
  <si>
    <t>Term 5, Input 22 High Safety Setpoint</t>
  </si>
  <si>
    <t>Term 5, Input 22 Low Safety Setpoint</t>
  </si>
  <si>
    <t>Term 5, Input 23 High Safety Setpoint</t>
  </si>
  <si>
    <t>Term 5, Input 23 Low Safety Setpoint</t>
  </si>
  <si>
    <t>Term 5, Input 24 High Safety Setpoint</t>
  </si>
  <si>
    <t>Term 5, Input 24 Low Safety Setpoint</t>
  </si>
  <si>
    <t>Term 5, Input 25 High Safety Setpoint</t>
  </si>
  <si>
    <t>Term 5, Input 25 Low Safety Setpoint</t>
  </si>
  <si>
    <t>Term 5, Input 26 High Safety Setpoint</t>
  </si>
  <si>
    <t>Term 5, Input 26 Low Safety Setpoint</t>
  </si>
  <si>
    <t>Term 5, Input 27 High Safety Setpoint</t>
  </si>
  <si>
    <t>Term 5, Input 27 Low Safety Setpoint</t>
  </si>
  <si>
    <t>Term 5, Input 28 High Safety Setpoint</t>
  </si>
  <si>
    <t>Term 5, Input 28 Low Safety Setpoint</t>
  </si>
  <si>
    <t>Term 5, Input 29 High Safety Setpoint</t>
  </si>
  <si>
    <t>Term 5, Input 29 Low Safety Setpoint</t>
  </si>
  <si>
    <t>Term 5, Input 30 High Safety Setpoint</t>
  </si>
  <si>
    <t>Term 5, Input 30 Low Safety Setpoint</t>
  </si>
  <si>
    <t>Term 5, Input 31 High Safety Setpoint</t>
  </si>
  <si>
    <t>Term 5, Input 31 Low Safety Setpoint</t>
  </si>
  <si>
    <t>Term 5, Input 32 High Safety Setpoint</t>
  </si>
  <si>
    <t>Term 5, Input 32 Low Safety Setpoint</t>
  </si>
  <si>
    <t>Discharge Stage 1 Pressure</t>
  </si>
  <si>
    <t>Discharge Stage 2 Pressure</t>
  </si>
  <si>
    <t>See Program for Additional Information</t>
  </si>
  <si>
    <t>1523_R5</t>
  </si>
  <si>
    <t>1014-1577-00</t>
  </si>
  <si>
    <t>Fuel</t>
  </si>
  <si>
    <t>Ignition</t>
  </si>
  <si>
    <t>Suction Stage 1 Pressure</t>
  </si>
  <si>
    <t>Panel Emergency Stop</t>
  </si>
  <si>
    <t>Engine Bearing 1 Temp</t>
  </si>
  <si>
    <t>Station ESD</t>
  </si>
  <si>
    <t>Engine RPM</t>
  </si>
  <si>
    <t>Pre-Turbo Flywheel Exhaust Temp</t>
  </si>
  <si>
    <t>Post Turbo Flywheel Exhaust Temp</t>
  </si>
  <si>
    <t>Pre-Turbo Aux End Exhaust Temp</t>
  </si>
  <si>
    <t>Post Turbo Aux End Exhaust Temp</t>
  </si>
  <si>
    <t>Engine Bearing 2 Temp</t>
  </si>
  <si>
    <t>Engine Bearing 3 Temp</t>
  </si>
  <si>
    <t>Engine Bearing 4 Temp</t>
  </si>
  <si>
    <t>Engine Bearing 5 Temp</t>
  </si>
  <si>
    <t>Engine Bearing 6 Temp</t>
  </si>
  <si>
    <t>Engine Bearing 7 Temp</t>
  </si>
  <si>
    <t>Engine Bearing 8 Temp</t>
  </si>
  <si>
    <t>Engine Bearing 9 Temp</t>
  </si>
  <si>
    <t>READY TO START</t>
  </si>
  <si>
    <t>PRE-LUBE</t>
  </si>
  <si>
    <t>Compressor Lube Oil Pressure</t>
  </si>
  <si>
    <t>RUN STATUS</t>
  </si>
  <si>
    <t>ALARM HORN</t>
  </si>
  <si>
    <t>ALARM STATUS</t>
  </si>
  <si>
    <t>FAULT STATUS</t>
  </si>
  <si>
    <t>STROBE LIGHT FLASH</t>
  </si>
  <si>
    <t>SUCTION PRESSURE SWITCH LOW</t>
  </si>
  <si>
    <t>STG 1DISCHARGE PRESSURE SWITCH HIGH</t>
  </si>
  <si>
    <t>STG 2 DISCHARGE PRESSURE SWITCH HIGH</t>
  </si>
  <si>
    <t>COMPRESSOR LUBE OIL PRESSURE LOW SWITCH</t>
  </si>
  <si>
    <t>CYLINDER LUBE PRESSURE LOW SWITCH</t>
  </si>
  <si>
    <t>ENGINE JACKET WATER FLOW SWITCH</t>
  </si>
  <si>
    <t>SPARE</t>
  </si>
  <si>
    <t>ENGINE LUBE OIL LEVEL LOW SWITCH</t>
  </si>
  <si>
    <t>COMP LUBE OIL LEVEL LOW SWITCH</t>
  </si>
  <si>
    <t>STG 1 SCRUBBER LEVEL HIGH SWITCH</t>
  </si>
  <si>
    <t>STG2 SCRUBBER LEVEL HIGH SWITCH</t>
  </si>
  <si>
    <t>LUBE NO FLOW CPI FSLL</t>
  </si>
  <si>
    <t>IGNITION FAULT</t>
  </si>
  <si>
    <t>COMPRESSOR CYLINDER VIBRATION #1</t>
  </si>
  <si>
    <t>COMPRESSOR CYLINDER VIBRATION #2</t>
  </si>
  <si>
    <t>COMPRESSOR COOLER VIBRATION #1</t>
  </si>
  <si>
    <t>COMPRESSOR COOLER VIBRATION#2</t>
  </si>
  <si>
    <t>REMOTE ESD</t>
  </si>
  <si>
    <t>PANEL EMERGENCY STOP</t>
  </si>
  <si>
    <t>650-5900-88-15-14</t>
  </si>
  <si>
    <t xml:space="preserve">Auxiliary Lube </t>
  </si>
  <si>
    <t>Start Crank</t>
  </si>
  <si>
    <t>Not Used</t>
  </si>
  <si>
    <t>Engine Lube Oil Pressure</t>
  </si>
  <si>
    <t>GD01 Gas Detector- Comp side</t>
  </si>
  <si>
    <t>GD012 Gas Detector- Engine side</t>
  </si>
  <si>
    <t>Lube No Flow switch</t>
  </si>
  <si>
    <t>Engine Oil Level LSLL</t>
  </si>
  <si>
    <t>Compressor Oil Level LSLL</t>
  </si>
  <si>
    <t>Engine JW water Level LSLL</t>
  </si>
  <si>
    <t>Engine Aux Water Level LSLL</t>
  </si>
  <si>
    <t>Cooler Vibration VSHH</t>
  </si>
  <si>
    <t>Compressor Vibration VSHH</t>
  </si>
  <si>
    <t>Engine Vibration VSHH</t>
  </si>
  <si>
    <t>1st STG Scrubber Level HIGH</t>
  </si>
  <si>
    <t>3rd STG Scrubber Level HIGH</t>
  </si>
  <si>
    <t>2nd Stg Scrubber Level HIGH</t>
  </si>
  <si>
    <t>Engine Started</t>
  </si>
  <si>
    <t>CEC DSM Fault</t>
  </si>
  <si>
    <t>Remote Stop USD</t>
  </si>
  <si>
    <t>Suction Control Out</t>
  </si>
  <si>
    <t>Engine Speed Control Out</t>
  </si>
  <si>
    <t>Recycle Valve Control Out</t>
  </si>
  <si>
    <t>Fuel Valve</t>
  </si>
  <si>
    <t>Bypass Valve Open</t>
  </si>
  <si>
    <t>Blowdown Valve Close</t>
  </si>
  <si>
    <t>Engine ESD Right Side</t>
  </si>
  <si>
    <t>Engine ESD Left Side</t>
  </si>
  <si>
    <t>ENGINE EXHAUST CYL 1 Left</t>
  </si>
  <si>
    <t>ENGINE EXHAUST CYL 2 Left</t>
  </si>
  <si>
    <t>ENGINE EXHAUST CYL 3 Left</t>
  </si>
  <si>
    <t>ENGINE EXHAUST CYL 4 Left</t>
  </si>
  <si>
    <t>ENGINE EXHAUST CYL 5 Left</t>
  </si>
  <si>
    <t>ENGINE EXHAUST CYL 6 Left</t>
  </si>
  <si>
    <t>ENGINE EXHAUST CYL 1 Right</t>
  </si>
  <si>
    <t>ENGINE EXHAUST CYL 2 Right</t>
  </si>
  <si>
    <t>ENGINE EXHAUST CYL 3 Right</t>
  </si>
  <si>
    <t>ENGINE EXHAUST CYL 4 Right</t>
  </si>
  <si>
    <t>ENGINE EXHAUST CYL 5 Right</t>
  </si>
  <si>
    <t>ENGINE EXHAUST CYL 6 Right</t>
  </si>
  <si>
    <t>ENGINE EXHAUST PRE TURBO Left</t>
  </si>
  <si>
    <t>ENGINE EXHAUST PRE TURBO Right</t>
  </si>
  <si>
    <t>ENGINE AIR MANIFOLD Right</t>
  </si>
  <si>
    <t>ENGINE AIR MANIFOLD Left</t>
  </si>
  <si>
    <t>COMPRESSOR OIL TEMP</t>
  </si>
  <si>
    <t>CYL#1 DISCHARGE TEMP</t>
  </si>
  <si>
    <t>CYL#2 DISCHARGE TEMP</t>
  </si>
  <si>
    <t>CYL#3 DISCHARGE TEMP</t>
  </si>
  <si>
    <t>CYL#4 DISCHARGE TEMP</t>
  </si>
  <si>
    <t>ENGINE OIL TEMP</t>
  </si>
  <si>
    <t>ENGINE JACKET WATER TEMP</t>
  </si>
  <si>
    <t>ENGINE PRE LUBE</t>
  </si>
  <si>
    <t>STROBE LIGHT RUNNING GREEN</t>
  </si>
  <si>
    <t>STROBE LIGHT ALARM AMBER</t>
  </si>
  <si>
    <t>STROBE LIGHT FAULT RED</t>
  </si>
  <si>
    <t>3rd Stage Suction Pressure</t>
  </si>
  <si>
    <t>3rd Stage Discharge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</si>
</sst>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ucida Console"/>
      <family val="3"/>
    </font>
    <font>
      <b/>
      <sz val="11"/>
      <color theme="1"/>
      <name val="Lucida Console"/>
      <family val="3"/>
    </font>
    <font>
      <b/>
      <u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2" borderId="10" xfId="0" applyFill="1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2" borderId="9" xfId="0" applyFill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2" borderId="1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left"/>
    </xf>
    <xf numFmtId="0" fontId="0" fillId="0" borderId="18" xfId="0" applyBorder="1" applyAlignment="1">
      <alignment horizontal="left" vertical="top"/>
    </xf>
    <xf numFmtId="0" fontId="2" fillId="0" borderId="19" xfId="0" applyFont="1" applyBorder="1" applyAlignment="1">
      <alignment vertical="top"/>
    </xf>
    <xf numFmtId="0" fontId="0" fillId="0" borderId="0" xfId="0" applyAlignment="1">
      <alignment horizontal="left" vertical="top"/>
    </xf>
    <xf numFmtId="0" fontId="2" fillId="0" borderId="6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vertical="top" wrapText="1" shrinkToFi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0" xfId="0" applyBorder="1" applyAlignment="1">
      <alignment horizontal="left" vertical="top"/>
    </xf>
    <xf numFmtId="0" fontId="0" fillId="0" borderId="10" xfId="0" applyBorder="1"/>
    <xf numFmtId="0" fontId="0" fillId="3" borderId="0" xfId="0" applyFill="1" applyBorder="1"/>
    <xf numFmtId="0" fontId="1" fillId="3" borderId="0" xfId="0" applyFont="1" applyFill="1" applyBorder="1" applyAlignment="1">
      <alignment horizontal="right" vertical="center"/>
    </xf>
    <xf numFmtId="0" fontId="0" fillId="0" borderId="0" xfId="0" applyProtection="1"/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0" fillId="3" borderId="22" xfId="0" applyFill="1" applyBorder="1" applyAlignment="1" applyProtection="1">
      <alignment horizontal="center" vertical="center"/>
      <protection locked="0"/>
    </xf>
    <xf numFmtId="0" fontId="0" fillId="0" borderId="20" xfId="0" applyBorder="1" applyAlignment="1">
      <alignment vertical="center"/>
    </xf>
    <xf numFmtId="0" fontId="0" fillId="2" borderId="20" xfId="0" applyFill="1" applyBorder="1" applyAlignment="1">
      <alignment vertical="center" wrapText="1"/>
    </xf>
    <xf numFmtId="0" fontId="0" fillId="0" borderId="0" xfId="0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9" xfId="0" applyFill="1" applyBorder="1" applyAlignment="1">
      <alignment horizontal="left" vertical="center"/>
    </xf>
    <xf numFmtId="0" fontId="0" fillId="0" borderId="10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0" fillId="0" borderId="10" xfId="0" applyFill="1" applyBorder="1" applyAlignment="1">
      <alignment vertical="center"/>
    </xf>
    <xf numFmtId="0" fontId="0" fillId="3" borderId="22" xfId="0" applyFill="1" applyBorder="1" applyAlignment="1" applyProtection="1">
      <alignment horizontal="center" vertical="center"/>
    </xf>
    <xf numFmtId="0" fontId="0" fillId="3" borderId="23" xfId="0" applyFill="1" applyBorder="1" applyAlignment="1" applyProtection="1">
      <alignment horizontal="center" vertical="center"/>
    </xf>
    <xf numFmtId="0" fontId="0" fillId="3" borderId="22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Alignment="1" applyProtection="1">
      <alignment horizontal="center" vertical="center"/>
      <protection locked="0"/>
    </xf>
    <xf numFmtId="0" fontId="0" fillId="0" borderId="28" xfId="0" applyFill="1" applyBorder="1" applyAlignment="1" applyProtection="1">
      <alignment horizontal="center"/>
    </xf>
    <xf numFmtId="0" fontId="0" fillId="4" borderId="24" xfId="0" applyFill="1" applyBorder="1" applyAlignment="1" applyProtection="1">
      <alignment horizontal="center"/>
    </xf>
    <xf numFmtId="0" fontId="0" fillId="4" borderId="17" xfId="0" applyFill="1" applyBorder="1" applyAlignment="1" applyProtection="1">
      <alignment horizontal="center"/>
    </xf>
    <xf numFmtId="0" fontId="0" fillId="4" borderId="25" xfId="0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left" vertical="center"/>
    </xf>
    <xf numFmtId="0" fontId="0" fillId="3" borderId="19" xfId="0" applyFill="1" applyBorder="1" applyAlignment="1" applyProtection="1">
      <alignment horizontal="center" vertical="center"/>
    </xf>
    <xf numFmtId="0" fontId="0" fillId="3" borderId="10" xfId="0" applyFill="1" applyBorder="1" applyAlignment="1" applyProtection="1">
      <alignment horizontal="center" vertical="center"/>
    </xf>
    <xf numFmtId="0" fontId="0" fillId="3" borderId="22" xfId="0" applyFill="1" applyBorder="1" applyAlignment="1" applyProtection="1">
      <alignment horizontal="center" vertical="center"/>
    </xf>
    <xf numFmtId="0" fontId="0" fillId="0" borderId="20" xfId="0" applyFill="1" applyBorder="1" applyAlignment="1" applyProtection="1">
      <alignment horizontal="center"/>
    </xf>
    <xf numFmtId="0" fontId="0" fillId="0" borderId="26" xfId="0" applyFill="1" applyBorder="1" applyAlignment="1" applyProtection="1">
      <alignment horizontal="center"/>
    </xf>
    <xf numFmtId="0" fontId="7" fillId="3" borderId="24" xfId="0" applyFont="1" applyFill="1" applyBorder="1" applyAlignment="1" applyProtection="1">
      <alignment horizontal="left" vertical="center"/>
    </xf>
    <xf numFmtId="0" fontId="7" fillId="3" borderId="17" xfId="0" applyFont="1" applyFill="1" applyBorder="1" applyAlignment="1" applyProtection="1">
      <alignment horizontal="left" vertical="center"/>
    </xf>
    <xf numFmtId="0" fontId="7" fillId="3" borderId="25" xfId="0" applyFont="1" applyFill="1" applyBorder="1" applyAlignment="1" applyProtection="1">
      <alignment horizontal="left" vertical="center"/>
    </xf>
    <xf numFmtId="0" fontId="0" fillId="3" borderId="23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28" xfId="0" applyFill="1" applyBorder="1" applyAlignment="1" applyProtection="1">
      <alignment horizontal="center"/>
      <protection locked="0"/>
    </xf>
    <xf numFmtId="0" fontId="0" fillId="0" borderId="26" xfId="0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 vertical="center"/>
      <protection locked="0"/>
    </xf>
    <xf numFmtId="0" fontId="0" fillId="3" borderId="10" xfId="0" applyFill="1" applyBorder="1" applyAlignment="1" applyProtection="1">
      <alignment horizontal="center" vertical="center"/>
      <protection locked="0"/>
    </xf>
    <xf numFmtId="0" fontId="0" fillId="0" borderId="20" xfId="0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left" vertical="center"/>
      <protection locked="0"/>
    </xf>
    <xf numFmtId="0" fontId="7" fillId="3" borderId="24" xfId="0" applyFont="1" applyFill="1" applyBorder="1" applyAlignment="1" applyProtection="1">
      <alignment horizontal="left" vertical="center"/>
      <protection locked="0"/>
    </xf>
    <xf numFmtId="0" fontId="7" fillId="3" borderId="17" xfId="0" applyFont="1" applyFill="1" applyBorder="1" applyAlignment="1" applyProtection="1">
      <alignment horizontal="left" vertical="center"/>
      <protection locked="0"/>
    </xf>
    <xf numFmtId="0" fontId="7" fillId="3" borderId="25" xfId="0" applyFont="1" applyFill="1" applyBorder="1" applyAlignment="1" applyProtection="1">
      <alignment horizontal="left" vertical="center"/>
      <protection locked="0"/>
    </xf>
    <xf numFmtId="0" fontId="0" fillId="3" borderId="23" xfId="0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0" fillId="4" borderId="24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25" xfId="0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0" fillId="3" borderId="27" xfId="0" applyFill="1" applyBorder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0" fontId="0" fillId="3" borderId="22" xfId="0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2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1">
    <cellStyle name="Normal" xfId="0" builtinId="0"/>
  </cellStyles>
  <dxfs count="21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499984740745262"/>
      </font>
      <fill>
        <patternFill>
          <bgColor theme="2" tint="-9.9948118533890809E-2"/>
        </patternFill>
      </fill>
    </dxf>
    <dxf>
      <font>
        <color theme="0" tint="-0.499984740745262"/>
      </font>
      <fill>
        <patternFill>
          <bgColor theme="2" tint="-9.9948118533890809E-2"/>
        </patternFill>
      </fill>
    </dxf>
    <dxf>
      <font>
        <color theme="0" tint="-0.499984740745262"/>
      </font>
      <fill>
        <patternFill>
          <bgColor theme="2" tint="-9.9948118533890809E-2"/>
        </patternFill>
      </fill>
    </dxf>
    <dxf>
      <font>
        <color theme="0" tint="-0.499984740745262"/>
      </font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6/relationships/vbaProject" Target="vbaProject.bin" /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450850</xdr:colOff>
      <xdr:row>0</xdr:row>
      <xdr:rowOff>1</xdr:rowOff>
    </xdr:from>
    <xdr:to>
      <xdr:col>10</xdr:col>
      <xdr:colOff>40874</xdr:colOff>
      <xdr:row>2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953BCB-154B-419F-4224-28C65B5A7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0" y="1"/>
          <a:ext cx="3209524" cy="53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66"/>
  <sheetViews>
    <sheetView zoomScale="115" zoomScaleNormal="115" workbookViewId="0">
      <pane ySplit="3" topLeftCell="A40" activePane="bottomLeft" state="frozen"/>
      <selection pane="bottomLeft" activeCell="B21" sqref="B21:H21"/>
    </sheetView>
  </sheetViews>
  <sheetFormatPr defaultColWidth="8.609375" defaultRowHeight="14.45" customHeight="1" x14ac:dyDescent="0.2"/>
  <cols>
    <col min="1" max="1" width="9.55078125" bestFit="1" customWidth="1"/>
    <col min="37" max="37" width="8.609375" style="51"/>
  </cols>
  <sheetData>
    <row r="1" spans="1:37" ht="14.45" customHeight="1" x14ac:dyDescent="0.2">
      <c r="A1" s="96" t="s">
        <v>735</v>
      </c>
      <c r="B1" s="96"/>
      <c r="C1" s="96"/>
      <c r="D1" s="97">
        <v>2</v>
      </c>
      <c r="E1" s="41"/>
      <c r="F1" s="41"/>
      <c r="G1" s="41"/>
      <c r="H1" s="41"/>
      <c r="I1" s="41"/>
      <c r="J1" s="41" t="s">
        <v>736</v>
      </c>
      <c r="K1" s="42" t="s">
        <v>737</v>
      </c>
      <c r="L1" s="95" t="s">
        <v>1002</v>
      </c>
      <c r="M1" s="95"/>
      <c r="N1" s="95"/>
      <c r="AK1" s="50">
        <v>1</v>
      </c>
    </row>
    <row r="2" spans="1:37" ht="14.45" customHeight="1" x14ac:dyDescent="0.2">
      <c r="A2" s="96"/>
      <c r="B2" s="96"/>
      <c r="C2" s="96"/>
      <c r="D2" s="97"/>
      <c r="E2" s="41"/>
      <c r="F2" s="41"/>
      <c r="G2" s="41"/>
      <c r="H2" s="41"/>
      <c r="I2" s="41"/>
      <c r="J2" s="41"/>
      <c r="K2" s="42" t="s">
        <v>738</v>
      </c>
      <c r="L2" s="95" t="s">
        <v>1003</v>
      </c>
      <c r="M2" s="95"/>
      <c r="N2" s="95"/>
      <c r="AK2" s="50">
        <v>2</v>
      </c>
    </row>
    <row r="3" spans="1:37" ht="14.45" customHeight="1" x14ac:dyDescent="0.2">
      <c r="A3" s="96"/>
      <c r="B3" s="96"/>
      <c r="C3" s="96"/>
      <c r="D3" s="97"/>
      <c r="E3" s="41"/>
      <c r="F3" s="41"/>
      <c r="G3" s="41"/>
      <c r="H3" s="41"/>
      <c r="I3" s="41"/>
      <c r="J3" s="41"/>
      <c r="K3" s="42" t="s">
        <v>739</v>
      </c>
      <c r="L3" s="95" t="s">
        <v>1050</v>
      </c>
      <c r="M3" s="95"/>
      <c r="N3" s="95"/>
      <c r="AK3" s="50">
        <v>3</v>
      </c>
    </row>
    <row r="4" spans="1:37" ht="14.25" customHeight="1" thickBot="1" x14ac:dyDescent="0.25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AK4" s="50">
        <v>4</v>
      </c>
    </row>
    <row r="5" spans="1:37" ht="28.5" customHeight="1" thickBot="1" x14ac:dyDescent="0.25">
      <c r="A5" s="91" t="s">
        <v>802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3"/>
      <c r="AK5" s="50">
        <v>5</v>
      </c>
    </row>
    <row r="6" spans="1:37" ht="14.45" customHeight="1" x14ac:dyDescent="0.2">
      <c r="A6" s="46" t="s">
        <v>796</v>
      </c>
      <c r="B6" s="102" t="s">
        <v>801</v>
      </c>
      <c r="C6" s="103"/>
      <c r="D6" s="103"/>
      <c r="E6" s="103"/>
      <c r="F6" s="103"/>
      <c r="G6" s="103"/>
      <c r="H6" s="103"/>
      <c r="I6" s="103"/>
      <c r="J6" s="103"/>
      <c r="K6" s="103"/>
      <c r="L6" s="94" t="s">
        <v>5</v>
      </c>
      <c r="M6" s="94"/>
      <c r="N6" s="94"/>
      <c r="AK6" s="50"/>
    </row>
    <row r="7" spans="1:37" ht="14.45" customHeight="1" x14ac:dyDescent="0.2">
      <c r="A7" s="44" t="s">
        <v>803</v>
      </c>
      <c r="B7" s="88" t="s">
        <v>1004</v>
      </c>
      <c r="C7" s="88"/>
      <c r="D7" s="88"/>
      <c r="E7" s="88"/>
      <c r="F7" s="88"/>
      <c r="G7" s="88"/>
      <c r="H7" s="88"/>
      <c r="I7" s="88"/>
      <c r="J7" s="88"/>
      <c r="K7" s="88"/>
      <c r="L7" s="88" t="s">
        <v>19</v>
      </c>
      <c r="M7" s="88"/>
      <c r="N7" s="88"/>
      <c r="AK7" s="50"/>
    </row>
    <row r="8" spans="1:37" ht="14.45" customHeight="1" x14ac:dyDescent="0.2">
      <c r="A8" s="44" t="s">
        <v>804</v>
      </c>
      <c r="B8" s="83" t="s">
        <v>1005</v>
      </c>
      <c r="C8" s="83"/>
      <c r="D8" s="83"/>
      <c r="E8" s="83"/>
      <c r="F8" s="83"/>
      <c r="G8" s="83"/>
      <c r="H8" s="83"/>
      <c r="I8" s="83"/>
      <c r="J8" s="83"/>
      <c r="K8" s="83"/>
      <c r="L8" s="83" t="s">
        <v>19</v>
      </c>
      <c r="M8" s="83"/>
      <c r="N8" s="83"/>
      <c r="AK8" s="50"/>
    </row>
    <row r="9" spans="1:37" ht="14.45" customHeight="1" x14ac:dyDescent="0.2">
      <c r="A9" s="44" t="s">
        <v>805</v>
      </c>
      <c r="B9" s="83" t="s">
        <v>1052</v>
      </c>
      <c r="C9" s="83"/>
      <c r="D9" s="83"/>
      <c r="E9" s="83"/>
      <c r="F9" s="83"/>
      <c r="G9" s="83"/>
      <c r="H9" s="83"/>
      <c r="I9" s="83"/>
      <c r="J9" s="83"/>
      <c r="K9" s="83"/>
      <c r="L9" s="83" t="s">
        <v>19</v>
      </c>
      <c r="M9" s="83"/>
      <c r="N9" s="83"/>
      <c r="AK9" s="50"/>
    </row>
    <row r="10" spans="1:37" ht="14.45" customHeight="1" thickBot="1" x14ac:dyDescent="0.25">
      <c r="A10" s="44" t="s">
        <v>806</v>
      </c>
      <c r="B10" s="83" t="s">
        <v>1051</v>
      </c>
      <c r="C10" s="83"/>
      <c r="D10" s="83"/>
      <c r="E10" s="83"/>
      <c r="F10" s="83"/>
      <c r="G10" s="83"/>
      <c r="H10" s="83"/>
      <c r="I10" s="83"/>
      <c r="J10" s="83"/>
      <c r="K10" s="83"/>
      <c r="L10" s="85" t="s">
        <v>19</v>
      </c>
      <c r="M10" s="85"/>
      <c r="N10" s="85"/>
    </row>
    <row r="11" spans="1:37" ht="28.5" customHeight="1" thickBot="1" x14ac:dyDescent="0.25">
      <c r="A11" s="91" t="s">
        <v>740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3"/>
    </row>
    <row r="12" spans="1:37" ht="14.45" customHeight="1" x14ac:dyDescent="0.2">
      <c r="A12" s="66" t="s">
        <v>741</v>
      </c>
      <c r="B12" s="94" t="s">
        <v>742</v>
      </c>
      <c r="C12" s="94"/>
      <c r="D12" s="94"/>
      <c r="E12" s="94"/>
      <c r="F12" s="94"/>
      <c r="G12" s="94"/>
      <c r="H12" s="94"/>
      <c r="I12" s="94" t="s">
        <v>743</v>
      </c>
      <c r="J12" s="94"/>
      <c r="K12" s="94"/>
      <c r="L12" s="94" t="s">
        <v>5</v>
      </c>
      <c r="M12" s="94"/>
      <c r="N12" s="94"/>
    </row>
    <row r="13" spans="1:37" ht="14.45" customHeight="1" x14ac:dyDescent="0.2">
      <c r="A13" s="45" t="s">
        <v>750</v>
      </c>
      <c r="B13" s="89" t="s">
        <v>1006</v>
      </c>
      <c r="C13" s="89"/>
      <c r="D13" s="89"/>
      <c r="E13" s="89"/>
      <c r="F13" s="89"/>
      <c r="G13" s="89"/>
      <c r="H13" s="89"/>
      <c r="I13" s="90" t="s">
        <v>744</v>
      </c>
      <c r="J13" s="90"/>
      <c r="K13" s="90"/>
      <c r="L13" s="88"/>
      <c r="M13" s="88"/>
      <c r="N13" s="88"/>
      <c r="AK13" s="51" t="s">
        <v>744</v>
      </c>
    </row>
    <row r="14" spans="1:37" ht="14.45" customHeight="1" x14ac:dyDescent="0.2">
      <c r="A14" s="45" t="s">
        <v>751</v>
      </c>
      <c r="B14" s="89" t="s">
        <v>999</v>
      </c>
      <c r="C14" s="89"/>
      <c r="D14" s="89"/>
      <c r="E14" s="89"/>
      <c r="F14" s="89"/>
      <c r="G14" s="89"/>
      <c r="H14" s="89"/>
      <c r="I14" s="90" t="s">
        <v>744</v>
      </c>
      <c r="J14" s="90"/>
      <c r="K14" s="90"/>
      <c r="L14" s="89"/>
      <c r="M14" s="89"/>
      <c r="N14" s="89"/>
      <c r="AK14" s="51" t="s">
        <v>745</v>
      </c>
    </row>
    <row r="15" spans="1:37" ht="14.45" customHeight="1" x14ac:dyDescent="0.2">
      <c r="A15" s="45" t="s">
        <v>752</v>
      </c>
      <c r="B15" s="89"/>
      <c r="C15" s="89"/>
      <c r="D15" s="89"/>
      <c r="E15" s="89"/>
      <c r="F15" s="89"/>
      <c r="G15" s="89"/>
      <c r="H15" s="89"/>
      <c r="I15" s="90" t="s">
        <v>749</v>
      </c>
      <c r="J15" s="90"/>
      <c r="K15" s="90"/>
      <c r="L15" s="89"/>
      <c r="M15" s="89"/>
      <c r="N15" s="89"/>
      <c r="AK15" s="51" t="s">
        <v>746</v>
      </c>
    </row>
    <row r="16" spans="1:37" ht="14.45" customHeight="1" x14ac:dyDescent="0.2">
      <c r="A16" s="45" t="s">
        <v>753</v>
      </c>
      <c r="B16" s="89" t="s">
        <v>1000</v>
      </c>
      <c r="C16" s="89"/>
      <c r="D16" s="89"/>
      <c r="E16" s="89"/>
      <c r="F16" s="89"/>
      <c r="G16" s="89"/>
      <c r="H16" s="89"/>
      <c r="I16" s="90" t="s">
        <v>744</v>
      </c>
      <c r="J16" s="90"/>
      <c r="K16" s="90"/>
      <c r="L16" s="89"/>
      <c r="M16" s="89"/>
      <c r="N16" s="89"/>
      <c r="AK16" s="51" t="s">
        <v>747</v>
      </c>
    </row>
    <row r="17" spans="1:37" ht="14.45" customHeight="1" x14ac:dyDescent="0.2">
      <c r="A17" s="45" t="s">
        <v>754</v>
      </c>
      <c r="B17" s="89" t="s">
        <v>1106</v>
      </c>
      <c r="C17" s="89"/>
      <c r="D17" s="89"/>
      <c r="E17" s="89"/>
      <c r="F17" s="89"/>
      <c r="G17" s="89"/>
      <c r="H17" s="89"/>
      <c r="I17" s="90" t="s">
        <v>744</v>
      </c>
      <c r="J17" s="90"/>
      <c r="K17" s="90"/>
      <c r="L17" s="89"/>
      <c r="M17" s="89"/>
      <c r="N17" s="89"/>
      <c r="AK17" s="51" t="s">
        <v>748</v>
      </c>
    </row>
    <row r="18" spans="1:37" ht="14.45" customHeight="1" x14ac:dyDescent="0.2">
      <c r="A18" s="45" t="s">
        <v>755</v>
      </c>
      <c r="B18" s="89" t="s">
        <v>1107</v>
      </c>
      <c r="C18" s="89"/>
      <c r="D18" s="89"/>
      <c r="E18" s="89"/>
      <c r="F18" s="89"/>
      <c r="G18" s="89"/>
      <c r="H18" s="89"/>
      <c r="I18" s="90" t="s">
        <v>744</v>
      </c>
      <c r="J18" s="90"/>
      <c r="K18" s="90"/>
      <c r="L18" s="89"/>
      <c r="M18" s="89"/>
      <c r="N18" s="89"/>
      <c r="AK18" s="51" t="s">
        <v>749</v>
      </c>
    </row>
    <row r="19" spans="1:37" ht="14.45" customHeight="1" x14ac:dyDescent="0.2">
      <c r="A19" s="45" t="s">
        <v>756</v>
      </c>
      <c r="B19" s="89" t="s">
        <v>1025</v>
      </c>
      <c r="C19" s="89"/>
      <c r="D19" s="89"/>
      <c r="E19" s="89"/>
      <c r="F19" s="89"/>
      <c r="G19" s="89"/>
      <c r="H19" s="89"/>
      <c r="I19" s="90" t="s">
        <v>744</v>
      </c>
      <c r="J19" s="90"/>
      <c r="K19" s="90"/>
      <c r="L19" s="89"/>
      <c r="M19" s="89"/>
      <c r="N19" s="89"/>
    </row>
    <row r="20" spans="1:37" ht="14.45" customHeight="1" x14ac:dyDescent="0.2">
      <c r="A20" s="45" t="s">
        <v>757</v>
      </c>
      <c r="B20" s="89" t="s">
        <v>1054</v>
      </c>
      <c r="C20" s="89"/>
      <c r="D20" s="89"/>
      <c r="E20" s="89"/>
      <c r="F20" s="89"/>
      <c r="G20" s="89"/>
      <c r="H20" s="89"/>
      <c r="I20" s="90" t="s">
        <v>744</v>
      </c>
      <c r="J20" s="90"/>
      <c r="K20" s="90"/>
      <c r="L20" s="89"/>
      <c r="M20" s="89"/>
      <c r="N20" s="89"/>
    </row>
    <row r="21" spans="1:37" ht="14.45" customHeight="1" x14ac:dyDescent="0.2">
      <c r="A21" s="45" t="s">
        <v>758</v>
      </c>
      <c r="B21" s="89" t="s">
        <v>1055</v>
      </c>
      <c r="C21" s="89"/>
      <c r="D21" s="89"/>
      <c r="E21" s="89"/>
      <c r="F21" s="89"/>
      <c r="G21" s="89"/>
      <c r="H21" s="89"/>
      <c r="I21" s="90" t="s">
        <v>744</v>
      </c>
      <c r="J21" s="90"/>
      <c r="K21" s="90"/>
      <c r="L21" s="89"/>
      <c r="M21" s="89"/>
      <c r="N21" s="89"/>
    </row>
    <row r="22" spans="1:37" ht="14.45" customHeight="1" x14ac:dyDescent="0.2">
      <c r="A22" s="45" t="s">
        <v>759</v>
      </c>
      <c r="B22" s="89" t="s">
        <v>1056</v>
      </c>
      <c r="C22" s="89"/>
      <c r="D22" s="89"/>
      <c r="E22" s="89"/>
      <c r="F22" s="89"/>
      <c r="G22" s="89"/>
      <c r="H22" s="89"/>
      <c r="I22" s="90" t="s">
        <v>744</v>
      </c>
      <c r="J22" s="90"/>
      <c r="K22" s="90"/>
      <c r="L22" s="89"/>
      <c r="M22" s="89"/>
      <c r="N22" s="89"/>
    </row>
    <row r="23" spans="1:37" ht="14.45" customHeight="1" x14ac:dyDescent="0.2">
      <c r="A23" s="45" t="s">
        <v>760</v>
      </c>
      <c r="B23" s="89"/>
      <c r="C23" s="89"/>
      <c r="D23" s="89"/>
      <c r="E23" s="89"/>
      <c r="F23" s="89"/>
      <c r="G23" s="89"/>
      <c r="H23" s="89"/>
      <c r="I23" s="90" t="s">
        <v>749</v>
      </c>
      <c r="J23" s="90"/>
      <c r="K23" s="90"/>
      <c r="L23" s="89"/>
      <c r="M23" s="89"/>
      <c r="N23" s="89"/>
    </row>
    <row r="24" spans="1:37" ht="14.45" customHeight="1" x14ac:dyDescent="0.2">
      <c r="A24" s="45" t="s">
        <v>761</v>
      </c>
      <c r="B24" s="89"/>
      <c r="C24" s="89"/>
      <c r="D24" s="89"/>
      <c r="E24" s="89"/>
      <c r="F24" s="89"/>
      <c r="G24" s="89"/>
      <c r="H24" s="89"/>
      <c r="I24" s="90" t="s">
        <v>749</v>
      </c>
      <c r="J24" s="90"/>
      <c r="K24" s="90"/>
      <c r="L24" s="89"/>
      <c r="M24" s="89"/>
      <c r="N24" s="89"/>
    </row>
    <row r="25" spans="1:37" ht="14.45" customHeight="1" x14ac:dyDescent="0.2">
      <c r="A25" s="45" t="s">
        <v>762</v>
      </c>
      <c r="B25" s="89"/>
      <c r="C25" s="89"/>
      <c r="D25" s="89"/>
      <c r="E25" s="89"/>
      <c r="F25" s="89"/>
      <c r="G25" s="89"/>
      <c r="H25" s="89"/>
      <c r="I25" s="90" t="s">
        <v>749</v>
      </c>
      <c r="J25" s="90"/>
      <c r="K25" s="90"/>
      <c r="L25" s="89"/>
      <c r="M25" s="89"/>
      <c r="N25" s="89"/>
    </row>
    <row r="26" spans="1:37" ht="14.45" customHeight="1" x14ac:dyDescent="0.2">
      <c r="A26" s="45" t="s">
        <v>763</v>
      </c>
      <c r="B26" s="89"/>
      <c r="C26" s="89"/>
      <c r="D26" s="89"/>
      <c r="E26" s="89"/>
      <c r="F26" s="89"/>
      <c r="G26" s="89"/>
      <c r="H26" s="89"/>
      <c r="I26" s="90" t="s">
        <v>749</v>
      </c>
      <c r="J26" s="90"/>
      <c r="K26" s="90"/>
      <c r="L26" s="89"/>
      <c r="M26" s="89"/>
      <c r="N26" s="89"/>
    </row>
    <row r="27" spans="1:37" ht="14.45" customHeight="1" x14ac:dyDescent="0.2">
      <c r="A27" s="45" t="s">
        <v>764</v>
      </c>
      <c r="B27" s="89"/>
      <c r="C27" s="89"/>
      <c r="D27" s="89"/>
      <c r="E27" s="89"/>
      <c r="F27" s="89"/>
      <c r="G27" s="89"/>
      <c r="H27" s="89"/>
      <c r="I27" s="90" t="s">
        <v>749</v>
      </c>
      <c r="J27" s="90"/>
      <c r="K27" s="90"/>
      <c r="L27" s="89"/>
      <c r="M27" s="89"/>
      <c r="N27" s="89"/>
    </row>
    <row r="28" spans="1:37" ht="14.45" customHeight="1" x14ac:dyDescent="0.2">
      <c r="A28" s="45" t="s">
        <v>765</v>
      </c>
      <c r="B28" s="89"/>
      <c r="C28" s="89"/>
      <c r="D28" s="89"/>
      <c r="E28" s="89"/>
      <c r="F28" s="89"/>
      <c r="G28" s="89"/>
      <c r="H28" s="89"/>
      <c r="I28" s="90" t="s">
        <v>749</v>
      </c>
      <c r="J28" s="90"/>
      <c r="K28" s="90"/>
      <c r="L28" s="89"/>
      <c r="M28" s="89"/>
      <c r="N28" s="89"/>
    </row>
    <row r="29" spans="1:37" ht="14.45" customHeight="1" x14ac:dyDescent="0.2">
      <c r="A29" s="45" t="s">
        <v>766</v>
      </c>
      <c r="B29" s="89" t="s">
        <v>1057</v>
      </c>
      <c r="C29" s="89"/>
      <c r="D29" s="89"/>
      <c r="E29" s="89"/>
      <c r="F29" s="89"/>
      <c r="G29" s="89"/>
      <c r="H29" s="89"/>
      <c r="I29" s="90" t="s">
        <v>747</v>
      </c>
      <c r="J29" s="90"/>
      <c r="K29" s="90"/>
      <c r="L29" s="89"/>
      <c r="M29" s="89"/>
      <c r="N29" s="89"/>
    </row>
    <row r="30" spans="1:37" ht="14.45" customHeight="1" x14ac:dyDescent="0.2">
      <c r="A30" s="45" t="s">
        <v>767</v>
      </c>
      <c r="B30" s="89" t="s">
        <v>1058</v>
      </c>
      <c r="C30" s="89"/>
      <c r="D30" s="89"/>
      <c r="E30" s="89"/>
      <c r="F30" s="89"/>
      <c r="G30" s="89"/>
      <c r="H30" s="89"/>
      <c r="I30" s="90" t="s">
        <v>747</v>
      </c>
      <c r="J30" s="90"/>
      <c r="K30" s="90"/>
      <c r="L30" s="89"/>
      <c r="M30" s="89"/>
      <c r="N30" s="89"/>
    </row>
    <row r="31" spans="1:37" ht="14.45" customHeight="1" x14ac:dyDescent="0.2">
      <c r="A31" s="45" t="s">
        <v>768</v>
      </c>
      <c r="B31" s="89" t="s">
        <v>1059</v>
      </c>
      <c r="C31" s="89"/>
      <c r="D31" s="89"/>
      <c r="E31" s="89"/>
      <c r="F31" s="89"/>
      <c r="G31" s="89"/>
      <c r="H31" s="89"/>
      <c r="I31" s="90" t="s">
        <v>747</v>
      </c>
      <c r="J31" s="90"/>
      <c r="K31" s="90"/>
      <c r="L31" s="89"/>
      <c r="M31" s="89"/>
      <c r="N31" s="89"/>
    </row>
    <row r="32" spans="1:37" ht="14.45" customHeight="1" x14ac:dyDescent="0.2">
      <c r="A32" s="45" t="s">
        <v>769</v>
      </c>
      <c r="B32" s="89" t="s">
        <v>1060</v>
      </c>
      <c r="C32" s="89"/>
      <c r="D32" s="89"/>
      <c r="E32" s="89"/>
      <c r="F32" s="89"/>
      <c r="G32" s="89"/>
      <c r="H32" s="89"/>
      <c r="I32" s="90" t="s">
        <v>747</v>
      </c>
      <c r="J32" s="90"/>
      <c r="K32" s="90"/>
      <c r="L32" s="89"/>
      <c r="M32" s="89"/>
      <c r="N32" s="89"/>
    </row>
    <row r="33" spans="1:14" ht="14.45" customHeight="1" x14ac:dyDescent="0.2">
      <c r="A33" s="45" t="s">
        <v>770</v>
      </c>
      <c r="B33" s="89" t="s">
        <v>1061</v>
      </c>
      <c r="C33" s="89"/>
      <c r="D33" s="89"/>
      <c r="E33" s="89"/>
      <c r="F33" s="89"/>
      <c r="G33" s="89"/>
      <c r="H33" s="89"/>
      <c r="I33" s="90" t="s">
        <v>747</v>
      </c>
      <c r="J33" s="90"/>
      <c r="K33" s="90"/>
      <c r="L33" s="89"/>
      <c r="M33" s="89"/>
      <c r="N33" s="89"/>
    </row>
    <row r="34" spans="1:14" ht="14.45" customHeight="1" x14ac:dyDescent="0.2">
      <c r="A34" s="45" t="s">
        <v>771</v>
      </c>
      <c r="B34" s="89" t="s">
        <v>1062</v>
      </c>
      <c r="C34" s="89"/>
      <c r="D34" s="89"/>
      <c r="E34" s="89"/>
      <c r="F34" s="89"/>
      <c r="G34" s="89"/>
      <c r="H34" s="89"/>
      <c r="I34" s="90" t="s">
        <v>747</v>
      </c>
      <c r="J34" s="90"/>
      <c r="K34" s="90"/>
      <c r="L34" s="89"/>
      <c r="M34" s="89"/>
      <c r="N34" s="89"/>
    </row>
    <row r="35" spans="1:14" ht="14.45" customHeight="1" x14ac:dyDescent="0.2">
      <c r="A35" s="45" t="s">
        <v>772</v>
      </c>
      <c r="B35" s="89" t="s">
        <v>1063</v>
      </c>
      <c r="C35" s="89"/>
      <c r="D35" s="89"/>
      <c r="E35" s="89"/>
      <c r="F35" s="89"/>
      <c r="G35" s="89"/>
      <c r="H35" s="89"/>
      <c r="I35" s="90" t="s">
        <v>747</v>
      </c>
      <c r="J35" s="90"/>
      <c r="K35" s="90"/>
      <c r="L35" s="89"/>
      <c r="M35" s="89"/>
      <c r="N35" s="89"/>
    </row>
    <row r="36" spans="1:14" ht="14.45" customHeight="1" x14ac:dyDescent="0.2">
      <c r="A36" s="45" t="s">
        <v>773</v>
      </c>
      <c r="B36" s="89" t="s">
        <v>1064</v>
      </c>
      <c r="C36" s="89"/>
      <c r="D36" s="89"/>
      <c r="E36" s="89"/>
      <c r="F36" s="89"/>
      <c r="G36" s="89"/>
      <c r="H36" s="89"/>
      <c r="I36" s="90" t="s">
        <v>747</v>
      </c>
      <c r="J36" s="90"/>
      <c r="K36" s="90"/>
      <c r="L36" s="89"/>
      <c r="M36" s="89"/>
      <c r="N36" s="89"/>
    </row>
    <row r="37" spans="1:14" ht="14.45" customHeight="1" x14ac:dyDescent="0.2">
      <c r="A37" s="45" t="s">
        <v>774</v>
      </c>
      <c r="B37" s="89" t="s">
        <v>1065</v>
      </c>
      <c r="C37" s="89"/>
      <c r="D37" s="89"/>
      <c r="E37" s="89"/>
      <c r="F37" s="89"/>
      <c r="G37" s="89"/>
      <c r="H37" s="89"/>
      <c r="I37" s="90" t="s">
        <v>747</v>
      </c>
      <c r="J37" s="90"/>
      <c r="K37" s="90"/>
      <c r="L37" s="89"/>
      <c r="M37" s="89"/>
      <c r="N37" s="89"/>
    </row>
    <row r="38" spans="1:14" ht="14.45" customHeight="1" x14ac:dyDescent="0.2">
      <c r="A38" s="45" t="s">
        <v>775</v>
      </c>
      <c r="B38" s="89" t="s">
        <v>1067</v>
      </c>
      <c r="C38" s="89"/>
      <c r="D38" s="89"/>
      <c r="E38" s="89"/>
      <c r="F38" s="89"/>
      <c r="G38" s="89"/>
      <c r="H38" s="89"/>
      <c r="I38" s="90" t="s">
        <v>747</v>
      </c>
      <c r="J38" s="90"/>
      <c r="K38" s="90"/>
      <c r="L38" s="89"/>
      <c r="M38" s="89"/>
      <c r="N38" s="89"/>
    </row>
    <row r="39" spans="1:14" ht="14.45" customHeight="1" x14ac:dyDescent="0.2">
      <c r="A39" s="45" t="s">
        <v>776</v>
      </c>
      <c r="B39" s="89" t="s">
        <v>1066</v>
      </c>
      <c r="C39" s="89"/>
      <c r="D39" s="89"/>
      <c r="E39" s="89"/>
      <c r="F39" s="89"/>
      <c r="G39" s="89"/>
      <c r="H39" s="89"/>
      <c r="I39" s="90" t="s">
        <v>747</v>
      </c>
      <c r="J39" s="90"/>
      <c r="K39" s="90"/>
      <c r="L39" s="89"/>
      <c r="M39" s="89"/>
      <c r="N39" s="89"/>
    </row>
    <row r="40" spans="1:14" ht="14.45" customHeight="1" x14ac:dyDescent="0.2">
      <c r="A40" s="45" t="s">
        <v>777</v>
      </c>
      <c r="B40" s="89" t="s">
        <v>1069</v>
      </c>
      <c r="C40" s="89"/>
      <c r="D40" s="89"/>
      <c r="E40" s="89"/>
      <c r="F40" s="89"/>
      <c r="G40" s="89"/>
      <c r="H40" s="89"/>
      <c r="I40" s="90" t="s">
        <v>747</v>
      </c>
      <c r="J40" s="90"/>
      <c r="K40" s="90"/>
      <c r="L40" s="89"/>
      <c r="M40" s="89"/>
      <c r="N40" s="89"/>
    </row>
    <row r="41" spans="1:14" ht="14.45" customHeight="1" x14ac:dyDescent="0.2">
      <c r="A41" s="45" t="s">
        <v>778</v>
      </c>
      <c r="B41" s="89" t="s">
        <v>1068</v>
      </c>
      <c r="C41" s="89"/>
      <c r="D41" s="89"/>
      <c r="E41" s="89"/>
      <c r="F41" s="89"/>
      <c r="G41" s="89"/>
      <c r="H41" s="89"/>
      <c r="I41" s="90" t="s">
        <v>747</v>
      </c>
      <c r="J41" s="90"/>
      <c r="K41" s="90"/>
      <c r="L41" s="89"/>
      <c r="M41" s="89"/>
      <c r="N41" s="89"/>
    </row>
    <row r="42" spans="1:14" ht="14.45" customHeight="1" x14ac:dyDescent="0.2">
      <c r="A42" s="45" t="s">
        <v>779</v>
      </c>
      <c r="B42" s="89" t="s">
        <v>1070</v>
      </c>
      <c r="C42" s="89"/>
      <c r="D42" s="89"/>
      <c r="E42" s="89"/>
      <c r="F42" s="89"/>
      <c r="G42" s="89"/>
      <c r="H42" s="89"/>
      <c r="I42" s="90" t="s">
        <v>747</v>
      </c>
      <c r="J42" s="90"/>
      <c r="K42" s="90"/>
      <c r="L42" s="89"/>
      <c r="M42" s="89"/>
      <c r="N42" s="89"/>
    </row>
    <row r="43" spans="1:14" ht="14.45" customHeight="1" x14ac:dyDescent="0.2">
      <c r="A43" s="45" t="s">
        <v>780</v>
      </c>
      <c r="B43" s="89" t="s">
        <v>1009</v>
      </c>
      <c r="C43" s="89"/>
      <c r="D43" s="89"/>
      <c r="E43" s="89"/>
      <c r="F43" s="89"/>
      <c r="G43" s="89"/>
      <c r="H43" s="89"/>
      <c r="I43" s="90" t="s">
        <v>747</v>
      </c>
      <c r="J43" s="90"/>
      <c r="K43" s="90"/>
      <c r="L43" s="89"/>
      <c r="M43" s="89"/>
      <c r="N43" s="89"/>
    </row>
    <row r="44" spans="1:14" ht="14.45" customHeight="1" x14ac:dyDescent="0.2">
      <c r="A44" s="45" t="s">
        <v>781</v>
      </c>
      <c r="B44" s="89" t="s">
        <v>1007</v>
      </c>
      <c r="C44" s="89"/>
      <c r="D44" s="89"/>
      <c r="E44" s="89"/>
      <c r="F44" s="89"/>
      <c r="G44" s="89"/>
      <c r="H44" s="89"/>
      <c r="I44" s="90" t="s">
        <v>747</v>
      </c>
      <c r="J44" s="90"/>
      <c r="K44" s="90"/>
      <c r="L44" s="89"/>
      <c r="M44" s="89"/>
      <c r="N44" s="89"/>
    </row>
    <row r="45" spans="1:14" ht="14.45" customHeight="1" x14ac:dyDescent="0.2">
      <c r="A45" s="65" t="s">
        <v>796</v>
      </c>
      <c r="B45" s="86" t="s">
        <v>801</v>
      </c>
      <c r="C45" s="87"/>
      <c r="D45" s="87"/>
      <c r="E45" s="87"/>
      <c r="F45" s="87"/>
      <c r="G45" s="87"/>
      <c r="H45" s="87"/>
      <c r="I45" s="87"/>
      <c r="J45" s="87"/>
      <c r="K45" s="87"/>
      <c r="L45" s="104" t="s">
        <v>5</v>
      </c>
      <c r="M45" s="104"/>
      <c r="N45" s="104"/>
    </row>
    <row r="46" spans="1:14" ht="14.45" customHeight="1" x14ac:dyDescent="0.2">
      <c r="A46" s="44" t="s">
        <v>782</v>
      </c>
      <c r="B46" s="88" t="s">
        <v>1071</v>
      </c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</row>
    <row r="47" spans="1:14" ht="14.45" customHeight="1" x14ac:dyDescent="0.2">
      <c r="A47" s="44" t="s">
        <v>783</v>
      </c>
      <c r="B47" s="83" t="s">
        <v>1072</v>
      </c>
      <c r="C47" s="83"/>
      <c r="D47" s="83"/>
      <c r="E47" s="83"/>
      <c r="F47" s="83"/>
      <c r="G47" s="83"/>
      <c r="H47" s="83"/>
      <c r="I47" s="83"/>
      <c r="J47" s="83"/>
      <c r="K47" s="83"/>
      <c r="L47" s="89"/>
      <c r="M47" s="89"/>
      <c r="N47" s="89"/>
    </row>
    <row r="48" spans="1:14" ht="14.45" customHeight="1" x14ac:dyDescent="0.2">
      <c r="A48" s="44" t="s">
        <v>784</v>
      </c>
      <c r="B48" s="83" t="s">
        <v>1073</v>
      </c>
      <c r="C48" s="83"/>
      <c r="D48" s="83"/>
      <c r="E48" s="83"/>
      <c r="F48" s="83"/>
      <c r="G48" s="83"/>
      <c r="H48" s="83"/>
      <c r="I48" s="83"/>
      <c r="J48" s="83"/>
      <c r="K48" s="83"/>
      <c r="L48" s="89"/>
      <c r="M48" s="89"/>
      <c r="N48" s="89"/>
    </row>
    <row r="49" spans="1:14" ht="14.45" customHeight="1" thickBot="1" x14ac:dyDescent="0.25">
      <c r="A49" s="44" t="s">
        <v>785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9"/>
      <c r="M49" s="89"/>
      <c r="N49" s="89"/>
    </row>
    <row r="50" spans="1:14" ht="14.45" customHeight="1" thickBot="1" x14ac:dyDescent="0.25">
      <c r="A50" s="98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100"/>
    </row>
    <row r="51" spans="1:14" ht="14.45" customHeight="1" x14ac:dyDescent="0.2">
      <c r="A51" s="44" t="s">
        <v>786</v>
      </c>
      <c r="B51" s="84" t="s">
        <v>1074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</row>
    <row r="52" spans="1:14" ht="14.45" customHeight="1" x14ac:dyDescent="0.2">
      <c r="A52" s="44" t="s">
        <v>787</v>
      </c>
      <c r="B52" s="83" t="s">
        <v>1053</v>
      </c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</row>
    <row r="53" spans="1:14" ht="14.45" customHeight="1" x14ac:dyDescent="0.2">
      <c r="A53" s="44" t="s">
        <v>788</v>
      </c>
      <c r="B53" s="83" t="s">
        <v>1075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</row>
    <row r="54" spans="1:14" ht="14.45" customHeight="1" x14ac:dyDescent="0.2">
      <c r="A54" s="44" t="s">
        <v>789</v>
      </c>
      <c r="B54" s="83" t="s">
        <v>1076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</row>
    <row r="55" spans="1:14" ht="14.45" customHeight="1" x14ac:dyDescent="0.2">
      <c r="A55" s="44" t="s">
        <v>790</v>
      </c>
      <c r="B55" s="83" t="s">
        <v>1026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</row>
    <row r="56" spans="1:14" ht="14.45" customHeight="1" x14ac:dyDescent="0.2">
      <c r="A56" s="44" t="s">
        <v>791</v>
      </c>
      <c r="B56" s="83" t="s">
        <v>1027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</row>
    <row r="57" spans="1:14" ht="14.45" customHeight="1" x14ac:dyDescent="0.2">
      <c r="A57" s="44" t="s">
        <v>792</v>
      </c>
      <c r="B57" s="83" t="s">
        <v>1028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</row>
    <row r="58" spans="1:14" ht="14.45" customHeight="1" thickBot="1" x14ac:dyDescent="0.25">
      <c r="A58" s="44" t="s">
        <v>793</v>
      </c>
      <c r="B58" s="83" t="s">
        <v>1029</v>
      </c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</row>
    <row r="59" spans="1:14" ht="14.45" customHeight="1" thickBot="1" x14ac:dyDescent="0.25">
      <c r="A59" s="98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100"/>
    </row>
    <row r="60" spans="1:14" ht="14.45" customHeight="1" x14ac:dyDescent="0.2">
      <c r="A60" s="44" t="s">
        <v>794</v>
      </c>
      <c r="B60" s="84" t="s">
        <v>1010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</row>
    <row r="61" spans="1:14" ht="14.45" customHeight="1" thickBot="1" x14ac:dyDescent="0.25">
      <c r="A61" s="44" t="s">
        <v>795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</row>
    <row r="62" spans="1:14" ht="28.5" customHeight="1" thickBot="1" x14ac:dyDescent="0.25">
      <c r="A62" s="91" t="s">
        <v>800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3"/>
    </row>
    <row r="63" spans="1:14" ht="14.45" customHeight="1" x14ac:dyDescent="0.2">
      <c r="A63" s="66" t="s">
        <v>741</v>
      </c>
      <c r="B63" s="94" t="s">
        <v>742</v>
      </c>
      <c r="C63" s="94"/>
      <c r="D63" s="94"/>
      <c r="E63" s="94"/>
      <c r="F63" s="94"/>
      <c r="G63" s="94"/>
      <c r="H63" s="94"/>
      <c r="I63" s="94" t="s">
        <v>743</v>
      </c>
      <c r="J63" s="94"/>
      <c r="K63" s="94"/>
      <c r="L63" s="94" t="s">
        <v>5</v>
      </c>
      <c r="M63" s="94"/>
      <c r="N63" s="94"/>
    </row>
    <row r="64" spans="1:14" ht="14.45" customHeight="1" x14ac:dyDescent="0.2">
      <c r="A64" s="45" t="s">
        <v>750</v>
      </c>
      <c r="B64" s="89" t="s">
        <v>1095</v>
      </c>
      <c r="C64" s="89"/>
      <c r="D64" s="89"/>
      <c r="E64" s="89"/>
      <c r="F64" s="89"/>
      <c r="G64" s="89"/>
      <c r="H64" s="89"/>
      <c r="I64" s="90" t="s">
        <v>746</v>
      </c>
      <c r="J64" s="90"/>
      <c r="K64" s="90"/>
      <c r="L64" s="88"/>
      <c r="M64" s="88"/>
      <c r="N64" s="88"/>
    </row>
    <row r="65" spans="1:14" ht="14.45" customHeight="1" x14ac:dyDescent="0.2">
      <c r="A65" s="45" t="s">
        <v>751</v>
      </c>
      <c r="B65" s="89" t="s">
        <v>1096</v>
      </c>
      <c r="C65" s="89"/>
      <c r="D65" s="89"/>
      <c r="E65" s="89"/>
      <c r="F65" s="89"/>
      <c r="G65" s="89"/>
      <c r="H65" s="89"/>
      <c r="I65" s="90" t="s">
        <v>746</v>
      </c>
      <c r="J65" s="90"/>
      <c r="K65" s="90"/>
      <c r="L65" s="89"/>
      <c r="M65" s="89"/>
      <c r="N65" s="89"/>
    </row>
    <row r="66" spans="1:14" ht="14.45" customHeight="1" x14ac:dyDescent="0.2">
      <c r="A66" s="45" t="s">
        <v>752</v>
      </c>
      <c r="B66" s="89" t="s">
        <v>1097</v>
      </c>
      <c r="C66" s="89"/>
      <c r="D66" s="89"/>
      <c r="E66" s="89"/>
      <c r="F66" s="89"/>
      <c r="G66" s="89"/>
      <c r="H66" s="89"/>
      <c r="I66" s="90" t="s">
        <v>746</v>
      </c>
      <c r="J66" s="90"/>
      <c r="K66" s="90"/>
      <c r="L66" s="89"/>
      <c r="M66" s="89"/>
      <c r="N66" s="89"/>
    </row>
    <row r="67" spans="1:14" ht="14.45" customHeight="1" x14ac:dyDescent="0.2">
      <c r="A67" s="45" t="s">
        <v>753</v>
      </c>
      <c r="B67" s="89" t="s">
        <v>1098</v>
      </c>
      <c r="C67" s="89"/>
      <c r="D67" s="89"/>
      <c r="E67" s="89"/>
      <c r="F67" s="89"/>
      <c r="G67" s="89"/>
      <c r="H67" s="89"/>
      <c r="I67" s="90" t="s">
        <v>746</v>
      </c>
      <c r="J67" s="90"/>
      <c r="K67" s="90"/>
      <c r="L67" s="89"/>
      <c r="M67" s="89"/>
      <c r="N67" s="89"/>
    </row>
    <row r="68" spans="1:14" ht="14.45" customHeight="1" x14ac:dyDescent="0.2">
      <c r="A68" s="45" t="s">
        <v>754</v>
      </c>
      <c r="B68" s="89" t="s">
        <v>1099</v>
      </c>
      <c r="C68" s="89"/>
      <c r="D68" s="89"/>
      <c r="E68" s="89"/>
      <c r="F68" s="89"/>
      <c r="G68" s="89"/>
      <c r="H68" s="89"/>
      <c r="I68" s="90" t="s">
        <v>746</v>
      </c>
      <c r="J68" s="90"/>
      <c r="K68" s="90"/>
      <c r="L68" s="89"/>
      <c r="M68" s="89"/>
      <c r="N68" s="89"/>
    </row>
    <row r="69" spans="1:14" ht="14.45" customHeight="1" x14ac:dyDescent="0.2">
      <c r="A69" s="45" t="s">
        <v>755</v>
      </c>
      <c r="B69" s="89"/>
      <c r="C69" s="89"/>
      <c r="D69" s="89"/>
      <c r="E69" s="89"/>
      <c r="F69" s="89"/>
      <c r="G69" s="89"/>
      <c r="H69" s="89"/>
      <c r="I69" s="90" t="s">
        <v>749</v>
      </c>
      <c r="J69" s="90"/>
      <c r="K69" s="90"/>
      <c r="L69" s="89"/>
      <c r="M69" s="89"/>
      <c r="N69" s="89"/>
    </row>
    <row r="70" spans="1:14" ht="14.45" customHeight="1" x14ac:dyDescent="0.2">
      <c r="A70" s="45" t="s">
        <v>756</v>
      </c>
      <c r="B70" s="89"/>
      <c r="C70" s="89"/>
      <c r="D70" s="89"/>
      <c r="E70" s="89"/>
      <c r="F70" s="89"/>
      <c r="G70" s="89"/>
      <c r="H70" s="89"/>
      <c r="I70" s="90" t="s">
        <v>749</v>
      </c>
      <c r="J70" s="90"/>
      <c r="K70" s="90"/>
      <c r="L70" s="89"/>
      <c r="M70" s="89"/>
      <c r="N70" s="89"/>
    </row>
    <row r="71" spans="1:14" ht="14.45" customHeight="1" x14ac:dyDescent="0.2">
      <c r="A71" s="45" t="s">
        <v>757</v>
      </c>
      <c r="B71" s="89"/>
      <c r="C71" s="89"/>
      <c r="D71" s="89"/>
      <c r="E71" s="89"/>
      <c r="F71" s="89"/>
      <c r="G71" s="89"/>
      <c r="H71" s="89"/>
      <c r="I71" s="90" t="s">
        <v>749</v>
      </c>
      <c r="J71" s="90"/>
      <c r="K71" s="90"/>
      <c r="L71" s="89"/>
      <c r="M71" s="89"/>
      <c r="N71" s="89"/>
    </row>
    <row r="72" spans="1:14" ht="14.45" customHeight="1" x14ac:dyDescent="0.2">
      <c r="A72" s="45" t="s">
        <v>758</v>
      </c>
      <c r="B72" s="89" t="s">
        <v>1100</v>
      </c>
      <c r="C72" s="89"/>
      <c r="D72" s="89"/>
      <c r="E72" s="89"/>
      <c r="F72" s="89"/>
      <c r="G72" s="89"/>
      <c r="H72" s="89"/>
      <c r="I72" s="90" t="s">
        <v>746</v>
      </c>
      <c r="J72" s="90"/>
      <c r="K72" s="90"/>
      <c r="L72" s="89"/>
      <c r="M72" s="89"/>
      <c r="N72" s="89"/>
    </row>
    <row r="73" spans="1:14" ht="14.45" customHeight="1" x14ac:dyDescent="0.2">
      <c r="A73" s="45" t="s">
        <v>759</v>
      </c>
      <c r="B73" s="89" t="s">
        <v>1101</v>
      </c>
      <c r="C73" s="89"/>
      <c r="D73" s="89"/>
      <c r="E73" s="89"/>
      <c r="F73" s="89"/>
      <c r="G73" s="89"/>
      <c r="H73" s="89"/>
      <c r="I73" s="90" t="s">
        <v>746</v>
      </c>
      <c r="J73" s="90"/>
      <c r="K73" s="90"/>
      <c r="L73" s="89"/>
      <c r="M73" s="89"/>
      <c r="N73" s="89"/>
    </row>
    <row r="74" spans="1:14" ht="14.45" customHeight="1" x14ac:dyDescent="0.2">
      <c r="A74" s="45" t="s">
        <v>760</v>
      </c>
      <c r="B74" s="89" t="s">
        <v>1077</v>
      </c>
      <c r="C74" s="89"/>
      <c r="D74" s="89"/>
      <c r="E74" s="89"/>
      <c r="F74" s="89"/>
      <c r="G74" s="89"/>
      <c r="H74" s="89"/>
      <c r="I74" s="90" t="s">
        <v>747</v>
      </c>
      <c r="J74" s="90"/>
      <c r="K74" s="90"/>
      <c r="L74" s="89"/>
      <c r="M74" s="89"/>
      <c r="N74" s="89"/>
    </row>
    <row r="75" spans="1:14" ht="14.45" customHeight="1" x14ac:dyDescent="0.2">
      <c r="A75" s="45" t="s">
        <v>761</v>
      </c>
      <c r="B75" s="89" t="s">
        <v>1078</v>
      </c>
      <c r="C75" s="89"/>
      <c r="D75" s="89"/>
      <c r="E75" s="89"/>
      <c r="F75" s="89"/>
      <c r="G75" s="89"/>
      <c r="H75" s="89"/>
      <c r="I75" s="90" t="s">
        <v>747</v>
      </c>
      <c r="J75" s="90"/>
      <c r="K75" s="90"/>
      <c r="L75" s="89"/>
      <c r="M75" s="89"/>
      <c r="N75" s="89"/>
    </row>
    <row r="76" spans="1:14" ht="14.45" customHeight="1" x14ac:dyDescent="0.2">
      <c r="A76" s="45" t="s">
        <v>762</v>
      </c>
      <c r="B76" s="89"/>
      <c r="C76" s="89"/>
      <c r="D76" s="89"/>
      <c r="E76" s="89"/>
      <c r="F76" s="89"/>
      <c r="G76" s="89"/>
      <c r="H76" s="89"/>
      <c r="I76" s="90" t="s">
        <v>749</v>
      </c>
      <c r="J76" s="90"/>
      <c r="K76" s="90"/>
      <c r="L76" s="89"/>
      <c r="M76" s="89"/>
      <c r="N76" s="89"/>
    </row>
    <row r="77" spans="1:14" ht="14.45" customHeight="1" x14ac:dyDescent="0.2">
      <c r="A77" s="45" t="s">
        <v>763</v>
      </c>
      <c r="B77" s="89"/>
      <c r="C77" s="89"/>
      <c r="D77" s="89"/>
      <c r="E77" s="89"/>
      <c r="F77" s="89"/>
      <c r="G77" s="89"/>
      <c r="H77" s="89"/>
      <c r="I77" s="90" t="s">
        <v>749</v>
      </c>
      <c r="J77" s="90"/>
      <c r="K77" s="90"/>
      <c r="L77" s="89"/>
      <c r="M77" s="89"/>
      <c r="N77" s="89"/>
    </row>
    <row r="78" spans="1:14" ht="14.45" customHeight="1" x14ac:dyDescent="0.2">
      <c r="A78" s="45" t="s">
        <v>764</v>
      </c>
      <c r="B78" s="89"/>
      <c r="C78" s="89"/>
      <c r="D78" s="89"/>
      <c r="E78" s="89"/>
      <c r="F78" s="89"/>
      <c r="G78" s="89"/>
      <c r="H78" s="89"/>
      <c r="I78" s="90" t="s">
        <v>749</v>
      </c>
      <c r="J78" s="90"/>
      <c r="K78" s="90"/>
      <c r="L78" s="89"/>
      <c r="M78" s="89"/>
      <c r="N78" s="89"/>
    </row>
    <row r="79" spans="1:14" ht="14.45" customHeight="1" x14ac:dyDescent="0.2">
      <c r="A79" s="45" t="s">
        <v>765</v>
      </c>
      <c r="B79" s="89"/>
      <c r="C79" s="89"/>
      <c r="D79" s="89"/>
      <c r="E79" s="89"/>
      <c r="F79" s="89"/>
      <c r="G79" s="89"/>
      <c r="H79" s="89"/>
      <c r="I79" s="90" t="s">
        <v>749</v>
      </c>
      <c r="J79" s="90"/>
      <c r="K79" s="90"/>
      <c r="L79" s="89"/>
      <c r="M79" s="89"/>
      <c r="N79" s="89"/>
    </row>
    <row r="80" spans="1:14" ht="14.45" customHeight="1" x14ac:dyDescent="0.2">
      <c r="A80" s="45" t="s">
        <v>766</v>
      </c>
      <c r="B80" s="89" t="s">
        <v>1079</v>
      </c>
      <c r="C80" s="89"/>
      <c r="D80" s="89"/>
      <c r="E80" s="89"/>
      <c r="F80" s="89"/>
      <c r="G80" s="89"/>
      <c r="H80" s="89"/>
      <c r="I80" s="90" t="s">
        <v>746</v>
      </c>
      <c r="J80" s="90"/>
      <c r="K80" s="90"/>
      <c r="L80" s="89"/>
      <c r="M80" s="89"/>
      <c r="N80" s="89"/>
    </row>
    <row r="81" spans="1:14" ht="14.45" customHeight="1" x14ac:dyDescent="0.2">
      <c r="A81" s="45" t="s">
        <v>767</v>
      </c>
      <c r="B81" s="89" t="s">
        <v>1080</v>
      </c>
      <c r="C81" s="89"/>
      <c r="D81" s="89"/>
      <c r="E81" s="89"/>
      <c r="F81" s="89"/>
      <c r="G81" s="89"/>
      <c r="H81" s="89"/>
      <c r="I81" s="90" t="s">
        <v>746</v>
      </c>
      <c r="J81" s="90"/>
      <c r="K81" s="90"/>
      <c r="L81" s="89"/>
      <c r="M81" s="89"/>
      <c r="N81" s="89"/>
    </row>
    <row r="82" spans="1:14" ht="14.45" customHeight="1" x14ac:dyDescent="0.2">
      <c r="A82" s="45" t="s">
        <v>768</v>
      </c>
      <c r="B82" s="89" t="s">
        <v>1081</v>
      </c>
      <c r="C82" s="89"/>
      <c r="D82" s="89"/>
      <c r="E82" s="89"/>
      <c r="F82" s="89"/>
      <c r="G82" s="89"/>
      <c r="H82" s="89"/>
      <c r="I82" s="90" t="s">
        <v>746</v>
      </c>
      <c r="J82" s="90"/>
      <c r="K82" s="90"/>
      <c r="L82" s="89"/>
      <c r="M82" s="89"/>
      <c r="N82" s="89"/>
    </row>
    <row r="83" spans="1:14" ht="14.45" customHeight="1" x14ac:dyDescent="0.2">
      <c r="A83" s="45" t="s">
        <v>769</v>
      </c>
      <c r="B83" s="89" t="s">
        <v>1082</v>
      </c>
      <c r="C83" s="89"/>
      <c r="D83" s="89"/>
      <c r="E83" s="89"/>
      <c r="F83" s="89"/>
      <c r="G83" s="89"/>
      <c r="H83" s="89"/>
      <c r="I83" s="90" t="s">
        <v>746</v>
      </c>
      <c r="J83" s="90"/>
      <c r="K83" s="90"/>
      <c r="L83" s="89"/>
      <c r="M83" s="89"/>
      <c r="N83" s="89"/>
    </row>
    <row r="84" spans="1:14" ht="14.45" customHeight="1" x14ac:dyDescent="0.2">
      <c r="A84" s="45" t="s">
        <v>770</v>
      </c>
      <c r="B84" s="89" t="s">
        <v>1083</v>
      </c>
      <c r="C84" s="89"/>
      <c r="D84" s="89"/>
      <c r="E84" s="89"/>
      <c r="F84" s="89"/>
      <c r="G84" s="89"/>
      <c r="H84" s="89"/>
      <c r="I84" s="90" t="s">
        <v>746</v>
      </c>
      <c r="J84" s="90"/>
      <c r="K84" s="90"/>
      <c r="L84" s="89"/>
      <c r="M84" s="89"/>
      <c r="N84" s="89"/>
    </row>
    <row r="85" spans="1:14" ht="14.45" customHeight="1" x14ac:dyDescent="0.2">
      <c r="A85" s="45" t="s">
        <v>771</v>
      </c>
      <c r="B85" s="89" t="s">
        <v>1084</v>
      </c>
      <c r="C85" s="89"/>
      <c r="D85" s="89"/>
      <c r="E85" s="89"/>
      <c r="F85" s="89"/>
      <c r="G85" s="89"/>
      <c r="H85" s="89"/>
      <c r="I85" s="90" t="s">
        <v>746</v>
      </c>
      <c r="J85" s="90"/>
      <c r="K85" s="90"/>
      <c r="L85" s="89"/>
      <c r="M85" s="89"/>
      <c r="N85" s="89"/>
    </row>
    <row r="86" spans="1:14" ht="14.45" customHeight="1" x14ac:dyDescent="0.2">
      <c r="A86" s="45" t="s">
        <v>772</v>
      </c>
      <c r="B86" s="89" t="s">
        <v>1085</v>
      </c>
      <c r="C86" s="89"/>
      <c r="D86" s="89"/>
      <c r="E86" s="89"/>
      <c r="F86" s="89"/>
      <c r="G86" s="89"/>
      <c r="H86" s="89"/>
      <c r="I86" s="90" t="s">
        <v>746</v>
      </c>
      <c r="J86" s="90"/>
      <c r="K86" s="90"/>
      <c r="L86" s="89"/>
      <c r="M86" s="89"/>
      <c r="N86" s="89"/>
    </row>
    <row r="87" spans="1:14" ht="14.45" customHeight="1" x14ac:dyDescent="0.2">
      <c r="A87" s="45" t="s">
        <v>773</v>
      </c>
      <c r="B87" s="89" t="s">
        <v>1086</v>
      </c>
      <c r="C87" s="89"/>
      <c r="D87" s="89"/>
      <c r="E87" s="89"/>
      <c r="F87" s="89"/>
      <c r="G87" s="89"/>
      <c r="H87" s="89"/>
      <c r="I87" s="90" t="s">
        <v>746</v>
      </c>
      <c r="J87" s="90"/>
      <c r="K87" s="90"/>
      <c r="L87" s="89"/>
      <c r="M87" s="89"/>
      <c r="N87" s="89"/>
    </row>
    <row r="88" spans="1:14" ht="14.45" customHeight="1" x14ac:dyDescent="0.2">
      <c r="A88" s="45" t="s">
        <v>774</v>
      </c>
      <c r="B88" s="89" t="s">
        <v>1087</v>
      </c>
      <c r="C88" s="89"/>
      <c r="D88" s="89"/>
      <c r="E88" s="89"/>
      <c r="F88" s="89"/>
      <c r="G88" s="89"/>
      <c r="H88" s="89"/>
      <c r="I88" s="90" t="s">
        <v>746</v>
      </c>
      <c r="J88" s="90"/>
      <c r="K88" s="90"/>
      <c r="L88" s="89"/>
      <c r="M88" s="89"/>
      <c r="N88" s="89"/>
    </row>
    <row r="89" spans="1:14" ht="14.45" customHeight="1" x14ac:dyDescent="0.2">
      <c r="A89" s="45" t="s">
        <v>775</v>
      </c>
      <c r="B89" s="89" t="s">
        <v>1088</v>
      </c>
      <c r="C89" s="89"/>
      <c r="D89" s="89"/>
      <c r="E89" s="89"/>
      <c r="F89" s="89"/>
      <c r="G89" s="89"/>
      <c r="H89" s="89"/>
      <c r="I89" s="90" t="s">
        <v>746</v>
      </c>
      <c r="J89" s="90"/>
      <c r="K89" s="90"/>
      <c r="L89" s="89"/>
      <c r="M89" s="89"/>
      <c r="N89" s="89"/>
    </row>
    <row r="90" spans="1:14" ht="14.45" customHeight="1" x14ac:dyDescent="0.2">
      <c r="A90" s="45" t="s">
        <v>776</v>
      </c>
      <c r="B90" s="89" t="s">
        <v>1089</v>
      </c>
      <c r="C90" s="89"/>
      <c r="D90" s="89"/>
      <c r="E90" s="89"/>
      <c r="F90" s="89"/>
      <c r="G90" s="89"/>
      <c r="H90" s="89"/>
      <c r="I90" s="90" t="s">
        <v>746</v>
      </c>
      <c r="J90" s="90"/>
      <c r="K90" s="90"/>
      <c r="L90" s="89"/>
      <c r="M90" s="89"/>
      <c r="N90" s="89"/>
    </row>
    <row r="91" spans="1:14" ht="14.45" customHeight="1" x14ac:dyDescent="0.2">
      <c r="A91" s="45" t="s">
        <v>777</v>
      </c>
      <c r="B91" s="89" t="s">
        <v>1090</v>
      </c>
      <c r="C91" s="89"/>
      <c r="D91" s="89"/>
      <c r="E91" s="89"/>
      <c r="F91" s="89"/>
      <c r="G91" s="89"/>
      <c r="H91" s="89"/>
      <c r="I91" s="90" t="s">
        <v>746</v>
      </c>
      <c r="J91" s="90"/>
      <c r="K91" s="90"/>
      <c r="L91" s="89"/>
      <c r="M91" s="89"/>
      <c r="N91" s="89"/>
    </row>
    <row r="92" spans="1:14" ht="14.45" customHeight="1" x14ac:dyDescent="0.2">
      <c r="A92" s="45" t="s">
        <v>778</v>
      </c>
      <c r="B92" s="89" t="s">
        <v>1091</v>
      </c>
      <c r="C92" s="89"/>
      <c r="D92" s="89"/>
      <c r="E92" s="89"/>
      <c r="F92" s="89"/>
      <c r="G92" s="89"/>
      <c r="H92" s="89"/>
      <c r="I92" s="90" t="s">
        <v>746</v>
      </c>
      <c r="J92" s="90"/>
      <c r="K92" s="90"/>
      <c r="L92" s="89"/>
      <c r="M92" s="89"/>
      <c r="N92" s="89"/>
    </row>
    <row r="93" spans="1:14" ht="14.45" customHeight="1" x14ac:dyDescent="0.2">
      <c r="A93" s="45" t="s">
        <v>779</v>
      </c>
      <c r="B93" s="89" t="s">
        <v>1092</v>
      </c>
      <c r="C93" s="89"/>
      <c r="D93" s="89"/>
      <c r="E93" s="89"/>
      <c r="F93" s="89"/>
      <c r="G93" s="89"/>
      <c r="H93" s="89"/>
      <c r="I93" s="90" t="s">
        <v>746</v>
      </c>
      <c r="J93" s="90"/>
      <c r="K93" s="90"/>
      <c r="L93" s="89"/>
      <c r="M93" s="89"/>
      <c r="N93" s="89"/>
    </row>
    <row r="94" spans="1:14" ht="14.45" customHeight="1" x14ac:dyDescent="0.2">
      <c r="A94" s="45" t="s">
        <v>780</v>
      </c>
      <c r="B94" s="89" t="s">
        <v>1094</v>
      </c>
      <c r="C94" s="89"/>
      <c r="D94" s="89"/>
      <c r="E94" s="89"/>
      <c r="F94" s="89"/>
      <c r="G94" s="89"/>
      <c r="H94" s="89"/>
      <c r="I94" s="90" t="s">
        <v>746</v>
      </c>
      <c r="J94" s="90"/>
      <c r="K94" s="90"/>
      <c r="L94" s="89"/>
      <c r="M94" s="89"/>
      <c r="N94" s="89"/>
    </row>
    <row r="95" spans="1:14" ht="14.45" customHeight="1" x14ac:dyDescent="0.2">
      <c r="A95" s="45" t="s">
        <v>781</v>
      </c>
      <c r="B95" s="89" t="s">
        <v>1093</v>
      </c>
      <c r="C95" s="89"/>
      <c r="D95" s="89"/>
      <c r="E95" s="89"/>
      <c r="F95" s="89"/>
      <c r="G95" s="89"/>
      <c r="H95" s="89"/>
      <c r="I95" s="90" t="s">
        <v>746</v>
      </c>
      <c r="J95" s="90"/>
      <c r="K95" s="90"/>
      <c r="L95" s="89"/>
      <c r="M95" s="89"/>
      <c r="N95" s="89"/>
    </row>
    <row r="96" spans="1:14" ht="14.45" customHeight="1" x14ac:dyDescent="0.2">
      <c r="A96" s="65" t="s">
        <v>796</v>
      </c>
      <c r="B96" s="86" t="s">
        <v>801</v>
      </c>
      <c r="C96" s="87"/>
      <c r="D96" s="87"/>
      <c r="E96" s="87"/>
      <c r="F96" s="87"/>
      <c r="G96" s="87"/>
      <c r="H96" s="87"/>
      <c r="I96" s="87"/>
      <c r="J96" s="87"/>
      <c r="K96" s="87"/>
      <c r="L96" s="104" t="s">
        <v>5</v>
      </c>
      <c r="M96" s="104"/>
      <c r="N96" s="104"/>
    </row>
    <row r="97" spans="1:14" ht="14.45" customHeight="1" x14ac:dyDescent="0.2">
      <c r="A97" s="44" t="s">
        <v>782</v>
      </c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</row>
    <row r="98" spans="1:14" ht="14.45" customHeight="1" x14ac:dyDescent="0.2">
      <c r="A98" s="44" t="s">
        <v>783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9"/>
      <c r="M98" s="89"/>
      <c r="N98" s="89"/>
    </row>
    <row r="99" spans="1:14" ht="14.45" customHeight="1" x14ac:dyDescent="0.2">
      <c r="A99" s="44" t="s">
        <v>784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9"/>
      <c r="M99" s="89"/>
      <c r="N99" s="89"/>
    </row>
    <row r="100" spans="1:14" ht="14.45" customHeight="1" thickBot="1" x14ac:dyDescent="0.25">
      <c r="A100" s="44" t="s">
        <v>785</v>
      </c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9"/>
      <c r="M100" s="89"/>
      <c r="N100" s="89"/>
    </row>
    <row r="101" spans="1:14" ht="14.45" customHeight="1" thickBot="1" x14ac:dyDescent="0.25">
      <c r="A101" s="98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100"/>
    </row>
    <row r="102" spans="1:14" ht="14.45" customHeight="1" x14ac:dyDescent="0.2">
      <c r="A102" s="44" t="s">
        <v>786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</row>
    <row r="103" spans="1:14" ht="14.45" customHeight="1" x14ac:dyDescent="0.2">
      <c r="A103" s="44" t="s">
        <v>787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</row>
    <row r="104" spans="1:14" ht="14.45" customHeight="1" x14ac:dyDescent="0.2">
      <c r="A104" s="44" t="s">
        <v>788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</row>
    <row r="105" spans="1:14" ht="14.45" customHeight="1" x14ac:dyDescent="0.2">
      <c r="A105" s="44" t="s">
        <v>789</v>
      </c>
      <c r="B105" s="83" t="s">
        <v>1102</v>
      </c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</row>
    <row r="106" spans="1:14" ht="14.45" customHeight="1" x14ac:dyDescent="0.2">
      <c r="A106" s="44" t="s">
        <v>790</v>
      </c>
      <c r="B106" s="83" t="s">
        <v>1103</v>
      </c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</row>
    <row r="107" spans="1:14" ht="14.45" customHeight="1" x14ac:dyDescent="0.2">
      <c r="A107" s="44" t="s">
        <v>791</v>
      </c>
      <c r="B107" s="83" t="s">
        <v>1104</v>
      </c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</row>
    <row r="108" spans="1:14" ht="14.45" customHeight="1" x14ac:dyDescent="0.2">
      <c r="A108" s="44" t="s">
        <v>792</v>
      </c>
      <c r="B108" s="83" t="s">
        <v>1105</v>
      </c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</row>
    <row r="109" spans="1:14" ht="14.45" customHeight="1" thickBot="1" x14ac:dyDescent="0.25">
      <c r="A109" s="44" t="s">
        <v>793</v>
      </c>
      <c r="B109" s="83" t="s">
        <v>1030</v>
      </c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</row>
    <row r="110" spans="1:14" ht="14.45" customHeight="1" thickBot="1" x14ac:dyDescent="0.25">
      <c r="A110" s="98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100"/>
    </row>
    <row r="111" spans="1:14" ht="14.45" customHeight="1" x14ac:dyDescent="0.2">
      <c r="A111" s="44" t="s">
        <v>794</v>
      </c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</row>
    <row r="112" spans="1:14" ht="14.45" customHeight="1" thickBot="1" x14ac:dyDescent="0.25">
      <c r="A112" s="44" t="s">
        <v>795</v>
      </c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</row>
    <row r="113" spans="1:14" ht="28.5" customHeight="1" thickBot="1" x14ac:dyDescent="0.25">
      <c r="A113" s="79" t="s">
        <v>799</v>
      </c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1"/>
    </row>
    <row r="114" spans="1:14" ht="14.45" customHeight="1" x14ac:dyDescent="0.2">
      <c r="A114" s="64" t="s">
        <v>741</v>
      </c>
      <c r="B114" s="82" t="s">
        <v>742</v>
      </c>
      <c r="C114" s="82"/>
      <c r="D114" s="82"/>
      <c r="E114" s="82"/>
      <c r="F114" s="82"/>
      <c r="G114" s="82"/>
      <c r="H114" s="82"/>
      <c r="I114" s="82" t="s">
        <v>743</v>
      </c>
      <c r="J114" s="82"/>
      <c r="K114" s="82"/>
      <c r="L114" s="82" t="s">
        <v>5</v>
      </c>
      <c r="M114" s="82"/>
      <c r="N114" s="82"/>
    </row>
    <row r="115" spans="1:14" ht="14.45" customHeight="1" x14ac:dyDescent="0.2">
      <c r="A115" s="52" t="s">
        <v>750</v>
      </c>
      <c r="B115" s="72"/>
      <c r="C115" s="72"/>
      <c r="D115" s="72"/>
      <c r="E115" s="72"/>
      <c r="F115" s="72"/>
      <c r="G115" s="72"/>
      <c r="H115" s="72"/>
      <c r="I115" s="73" t="s">
        <v>749</v>
      </c>
      <c r="J115" s="73"/>
      <c r="K115" s="73"/>
      <c r="L115" s="77"/>
      <c r="M115" s="77"/>
      <c r="N115" s="77"/>
    </row>
    <row r="116" spans="1:14" ht="14.45" customHeight="1" x14ac:dyDescent="0.2">
      <c r="A116" s="52" t="s">
        <v>751</v>
      </c>
      <c r="B116" s="72"/>
      <c r="C116" s="72"/>
      <c r="D116" s="72"/>
      <c r="E116" s="72"/>
      <c r="F116" s="72"/>
      <c r="G116" s="72"/>
      <c r="H116" s="72"/>
      <c r="I116" s="73" t="s">
        <v>749</v>
      </c>
      <c r="J116" s="73"/>
      <c r="K116" s="73"/>
      <c r="L116" s="72"/>
      <c r="M116" s="72"/>
      <c r="N116" s="72"/>
    </row>
    <row r="117" spans="1:14" ht="14.45" customHeight="1" x14ac:dyDescent="0.2">
      <c r="A117" s="52" t="s">
        <v>752</v>
      </c>
      <c r="B117" s="72"/>
      <c r="C117" s="72"/>
      <c r="D117" s="72"/>
      <c r="E117" s="72"/>
      <c r="F117" s="72"/>
      <c r="G117" s="72"/>
      <c r="H117" s="72"/>
      <c r="I117" s="73" t="s">
        <v>749</v>
      </c>
      <c r="J117" s="73"/>
      <c r="K117" s="73"/>
      <c r="L117" s="72"/>
      <c r="M117" s="72"/>
      <c r="N117" s="72"/>
    </row>
    <row r="118" spans="1:14" ht="14.45" customHeight="1" x14ac:dyDescent="0.2">
      <c r="A118" s="52" t="s">
        <v>753</v>
      </c>
      <c r="B118" s="72" t="s">
        <v>1031</v>
      </c>
      <c r="C118" s="72"/>
      <c r="D118" s="72"/>
      <c r="E118" s="72"/>
      <c r="F118" s="72"/>
      <c r="G118" s="72"/>
      <c r="H118" s="72"/>
      <c r="I118" s="73" t="s">
        <v>747</v>
      </c>
      <c r="J118" s="73"/>
      <c r="K118" s="73"/>
      <c r="L118" s="72"/>
      <c r="M118" s="72"/>
      <c r="N118" s="72"/>
    </row>
    <row r="119" spans="1:14" ht="14.45" customHeight="1" x14ac:dyDescent="0.2">
      <c r="A119" s="52" t="s">
        <v>754</v>
      </c>
      <c r="B119" s="72" t="s">
        <v>1032</v>
      </c>
      <c r="C119" s="72"/>
      <c r="D119" s="72"/>
      <c r="E119" s="72"/>
      <c r="F119" s="72"/>
      <c r="G119" s="72"/>
      <c r="H119" s="72"/>
      <c r="I119" s="73" t="s">
        <v>747</v>
      </c>
      <c r="J119" s="73"/>
      <c r="K119" s="73"/>
      <c r="L119" s="72"/>
      <c r="M119" s="72"/>
      <c r="N119" s="72"/>
    </row>
    <row r="120" spans="1:14" ht="14.45" customHeight="1" x14ac:dyDescent="0.2">
      <c r="A120" s="52" t="s">
        <v>755</v>
      </c>
      <c r="B120" s="72" t="s">
        <v>1033</v>
      </c>
      <c r="C120" s="72"/>
      <c r="D120" s="72"/>
      <c r="E120" s="72"/>
      <c r="F120" s="72"/>
      <c r="G120" s="72"/>
      <c r="H120" s="72"/>
      <c r="I120" s="73" t="s">
        <v>747</v>
      </c>
      <c r="J120" s="73"/>
      <c r="K120" s="73"/>
      <c r="L120" s="72"/>
      <c r="M120" s="72"/>
      <c r="N120" s="72"/>
    </row>
    <row r="121" spans="1:14" ht="14.45" customHeight="1" x14ac:dyDescent="0.2">
      <c r="A121" s="52" t="s">
        <v>756</v>
      </c>
      <c r="B121" s="72" t="s">
        <v>1034</v>
      </c>
      <c r="C121" s="72"/>
      <c r="D121" s="72"/>
      <c r="E121" s="72"/>
      <c r="F121" s="72"/>
      <c r="G121" s="72"/>
      <c r="H121" s="72"/>
      <c r="I121" s="73" t="s">
        <v>747</v>
      </c>
      <c r="J121" s="73"/>
      <c r="K121" s="73"/>
      <c r="L121" s="72"/>
      <c r="M121" s="72"/>
      <c r="N121" s="72"/>
    </row>
    <row r="122" spans="1:14" ht="14.45" customHeight="1" x14ac:dyDescent="0.2">
      <c r="A122" s="52" t="s">
        <v>757</v>
      </c>
      <c r="B122" s="72" t="s">
        <v>1035</v>
      </c>
      <c r="C122" s="72"/>
      <c r="D122" s="72"/>
      <c r="E122" s="72"/>
      <c r="F122" s="72"/>
      <c r="G122" s="72"/>
      <c r="H122" s="72"/>
      <c r="I122" s="73" t="s">
        <v>747</v>
      </c>
      <c r="J122" s="73"/>
      <c r="K122" s="73"/>
      <c r="L122" s="72"/>
      <c r="M122" s="72"/>
      <c r="N122" s="72"/>
    </row>
    <row r="123" spans="1:14" ht="14.45" customHeight="1" x14ac:dyDescent="0.2">
      <c r="A123" s="52" t="s">
        <v>758</v>
      </c>
      <c r="B123" s="72" t="s">
        <v>1036</v>
      </c>
      <c r="C123" s="72"/>
      <c r="D123" s="72"/>
      <c r="E123" s="72"/>
      <c r="F123" s="72"/>
      <c r="G123" s="72"/>
      <c r="H123" s="72"/>
      <c r="I123" s="73" t="s">
        <v>747</v>
      </c>
      <c r="J123" s="73"/>
      <c r="K123" s="73"/>
      <c r="L123" s="72"/>
      <c r="M123" s="72"/>
      <c r="N123" s="72"/>
    </row>
    <row r="124" spans="1:14" ht="14.45" customHeight="1" x14ac:dyDescent="0.2">
      <c r="A124" s="52" t="s">
        <v>759</v>
      </c>
      <c r="B124" s="72" t="s">
        <v>1037</v>
      </c>
      <c r="C124" s="72"/>
      <c r="D124" s="72"/>
      <c r="E124" s="72"/>
      <c r="F124" s="72"/>
      <c r="G124" s="72"/>
      <c r="H124" s="72"/>
      <c r="I124" s="73" t="s">
        <v>747</v>
      </c>
      <c r="J124" s="73"/>
      <c r="K124" s="73"/>
      <c r="L124" s="72"/>
      <c r="M124" s="72"/>
      <c r="N124" s="72"/>
    </row>
    <row r="125" spans="1:14" ht="14.45" customHeight="1" x14ac:dyDescent="0.2">
      <c r="A125" s="52" t="s">
        <v>760</v>
      </c>
      <c r="B125" s="72" t="s">
        <v>1038</v>
      </c>
      <c r="C125" s="72"/>
      <c r="D125" s="72"/>
      <c r="E125" s="72"/>
      <c r="F125" s="72"/>
      <c r="G125" s="72"/>
      <c r="H125" s="72"/>
      <c r="I125" s="73" t="s">
        <v>747</v>
      </c>
      <c r="J125" s="73"/>
      <c r="K125" s="73"/>
      <c r="L125" s="72"/>
      <c r="M125" s="72"/>
      <c r="N125" s="72"/>
    </row>
    <row r="126" spans="1:14" ht="14.45" customHeight="1" x14ac:dyDescent="0.2">
      <c r="A126" s="52" t="s">
        <v>761</v>
      </c>
      <c r="B126" s="72" t="s">
        <v>1039</v>
      </c>
      <c r="C126" s="72"/>
      <c r="D126" s="72"/>
      <c r="E126" s="72"/>
      <c r="F126" s="72"/>
      <c r="G126" s="72"/>
      <c r="H126" s="72"/>
      <c r="I126" s="73" t="s">
        <v>747</v>
      </c>
      <c r="J126" s="73"/>
      <c r="K126" s="73"/>
      <c r="L126" s="72"/>
      <c r="M126" s="72"/>
      <c r="N126" s="72"/>
    </row>
    <row r="127" spans="1:14" ht="14.45" customHeight="1" x14ac:dyDescent="0.2">
      <c r="A127" s="52" t="s">
        <v>762</v>
      </c>
      <c r="B127" s="72" t="s">
        <v>1040</v>
      </c>
      <c r="C127" s="72"/>
      <c r="D127" s="72"/>
      <c r="E127" s="72"/>
      <c r="F127" s="72"/>
      <c r="G127" s="72"/>
      <c r="H127" s="72"/>
      <c r="I127" s="73" t="s">
        <v>747</v>
      </c>
      <c r="J127" s="73"/>
      <c r="K127" s="73"/>
      <c r="L127" s="72"/>
      <c r="M127" s="72"/>
      <c r="N127" s="72"/>
    </row>
    <row r="128" spans="1:14" ht="14.45" customHeight="1" x14ac:dyDescent="0.2">
      <c r="A128" s="52" t="s">
        <v>763</v>
      </c>
      <c r="B128" s="72" t="s">
        <v>1041</v>
      </c>
      <c r="C128" s="72"/>
      <c r="D128" s="72"/>
      <c r="E128" s="72"/>
      <c r="F128" s="72"/>
      <c r="G128" s="72"/>
      <c r="H128" s="72"/>
      <c r="I128" s="73" t="s">
        <v>747</v>
      </c>
      <c r="J128" s="73"/>
      <c r="K128" s="73"/>
      <c r="L128" s="72"/>
      <c r="M128" s="72"/>
      <c r="N128" s="72"/>
    </row>
    <row r="129" spans="1:14" ht="14.45" customHeight="1" x14ac:dyDescent="0.2">
      <c r="A129" s="52" t="s">
        <v>764</v>
      </c>
      <c r="B129" s="72" t="s">
        <v>1037</v>
      </c>
      <c r="C129" s="72"/>
      <c r="D129" s="72"/>
      <c r="E129" s="72"/>
      <c r="F129" s="72"/>
      <c r="G129" s="72"/>
      <c r="H129" s="72"/>
      <c r="I129" s="73" t="s">
        <v>747</v>
      </c>
      <c r="J129" s="73"/>
      <c r="K129" s="73"/>
      <c r="L129" s="72"/>
      <c r="M129" s="72"/>
      <c r="N129" s="72"/>
    </row>
    <row r="130" spans="1:14" ht="14.45" customHeight="1" x14ac:dyDescent="0.2">
      <c r="A130" s="52" t="s">
        <v>765</v>
      </c>
      <c r="B130" s="72" t="s">
        <v>1037</v>
      </c>
      <c r="C130" s="72"/>
      <c r="D130" s="72"/>
      <c r="E130" s="72"/>
      <c r="F130" s="72"/>
      <c r="G130" s="72"/>
      <c r="H130" s="72"/>
      <c r="I130" s="73" t="s">
        <v>747</v>
      </c>
      <c r="J130" s="73"/>
      <c r="K130" s="73"/>
      <c r="L130" s="72"/>
      <c r="M130" s="72"/>
      <c r="N130" s="72"/>
    </row>
    <row r="131" spans="1:14" ht="14.45" customHeight="1" x14ac:dyDescent="0.2">
      <c r="A131" s="52" t="s">
        <v>766</v>
      </c>
      <c r="B131" s="72" t="s">
        <v>1042</v>
      </c>
      <c r="C131" s="72"/>
      <c r="D131" s="72"/>
      <c r="E131" s="72"/>
      <c r="F131" s="72"/>
      <c r="G131" s="72"/>
      <c r="H131" s="72"/>
      <c r="I131" s="73" t="s">
        <v>747</v>
      </c>
      <c r="J131" s="73"/>
      <c r="K131" s="73"/>
      <c r="L131" s="72"/>
      <c r="M131" s="72"/>
      <c r="N131" s="72"/>
    </row>
    <row r="132" spans="1:14" ht="14.45" customHeight="1" x14ac:dyDescent="0.2">
      <c r="A132" s="52" t="s">
        <v>767</v>
      </c>
      <c r="B132" s="72" t="s">
        <v>1037</v>
      </c>
      <c r="C132" s="72"/>
      <c r="D132" s="72"/>
      <c r="E132" s="72"/>
      <c r="F132" s="72"/>
      <c r="G132" s="72"/>
      <c r="H132" s="72"/>
      <c r="I132" s="73" t="s">
        <v>747</v>
      </c>
      <c r="J132" s="73"/>
      <c r="K132" s="73"/>
      <c r="L132" s="72"/>
      <c r="M132" s="72"/>
      <c r="N132" s="72"/>
    </row>
    <row r="133" spans="1:14" ht="14.45" customHeight="1" x14ac:dyDescent="0.2">
      <c r="A133" s="52" t="s">
        <v>768</v>
      </c>
      <c r="B133" s="72" t="s">
        <v>1037</v>
      </c>
      <c r="C133" s="72"/>
      <c r="D133" s="72"/>
      <c r="E133" s="72"/>
      <c r="F133" s="72"/>
      <c r="G133" s="72"/>
      <c r="H133" s="72"/>
      <c r="I133" s="73" t="s">
        <v>747</v>
      </c>
      <c r="J133" s="73"/>
      <c r="K133" s="73"/>
      <c r="L133" s="72"/>
      <c r="M133" s="72"/>
      <c r="N133" s="72"/>
    </row>
    <row r="134" spans="1:14" ht="14.45" customHeight="1" x14ac:dyDescent="0.2">
      <c r="A134" s="52" t="s">
        <v>769</v>
      </c>
      <c r="B134" s="72" t="s">
        <v>1043</v>
      </c>
      <c r="C134" s="72"/>
      <c r="D134" s="72"/>
      <c r="E134" s="72"/>
      <c r="F134" s="72"/>
      <c r="G134" s="72"/>
      <c r="H134" s="72"/>
      <c r="I134" s="73" t="s">
        <v>747</v>
      </c>
      <c r="J134" s="73"/>
      <c r="K134" s="73"/>
      <c r="L134" s="72"/>
      <c r="M134" s="72"/>
      <c r="N134" s="72"/>
    </row>
    <row r="135" spans="1:14" ht="14.45" customHeight="1" x14ac:dyDescent="0.2">
      <c r="A135" s="52" t="s">
        <v>770</v>
      </c>
      <c r="B135" s="72" t="s">
        <v>1044</v>
      </c>
      <c r="C135" s="72"/>
      <c r="D135" s="72"/>
      <c r="E135" s="72"/>
      <c r="F135" s="72"/>
      <c r="G135" s="72"/>
      <c r="H135" s="72"/>
      <c r="I135" s="73" t="s">
        <v>747</v>
      </c>
      <c r="J135" s="73"/>
      <c r="K135" s="73"/>
      <c r="L135" s="72"/>
      <c r="M135" s="72"/>
      <c r="N135" s="72"/>
    </row>
    <row r="136" spans="1:14" ht="14.45" customHeight="1" x14ac:dyDescent="0.2">
      <c r="A136" s="52" t="s">
        <v>771</v>
      </c>
      <c r="B136" s="72" t="s">
        <v>1045</v>
      </c>
      <c r="C136" s="72"/>
      <c r="D136" s="72"/>
      <c r="E136" s="72"/>
      <c r="F136" s="72"/>
      <c r="G136" s="72"/>
      <c r="H136" s="72"/>
      <c r="I136" s="73" t="s">
        <v>747</v>
      </c>
      <c r="J136" s="73"/>
      <c r="K136" s="73"/>
      <c r="L136" s="72"/>
      <c r="M136" s="72"/>
      <c r="N136" s="72"/>
    </row>
    <row r="137" spans="1:14" ht="14.45" customHeight="1" x14ac:dyDescent="0.2">
      <c r="A137" s="52" t="s">
        <v>772</v>
      </c>
      <c r="B137" s="72" t="s">
        <v>1046</v>
      </c>
      <c r="C137" s="72"/>
      <c r="D137" s="72"/>
      <c r="E137" s="72"/>
      <c r="F137" s="72"/>
      <c r="G137" s="72"/>
      <c r="H137" s="72"/>
      <c r="I137" s="73" t="s">
        <v>747</v>
      </c>
      <c r="J137" s="73"/>
      <c r="K137" s="73"/>
      <c r="L137" s="72"/>
      <c r="M137" s="72"/>
      <c r="N137" s="72"/>
    </row>
    <row r="138" spans="1:14" ht="14.45" customHeight="1" x14ac:dyDescent="0.2">
      <c r="A138" s="52" t="s">
        <v>773</v>
      </c>
      <c r="B138" s="72" t="s">
        <v>1047</v>
      </c>
      <c r="C138" s="72"/>
      <c r="D138" s="72"/>
      <c r="E138" s="72"/>
      <c r="F138" s="72"/>
      <c r="G138" s="72"/>
      <c r="H138" s="72"/>
      <c r="I138" s="73" t="s">
        <v>747</v>
      </c>
      <c r="J138" s="73"/>
      <c r="K138" s="73"/>
      <c r="L138" s="72"/>
      <c r="M138" s="72"/>
      <c r="N138" s="72"/>
    </row>
    <row r="139" spans="1:14" ht="14.45" customHeight="1" x14ac:dyDescent="0.2">
      <c r="A139" s="52" t="s">
        <v>774</v>
      </c>
      <c r="B139" s="72" t="s">
        <v>1037</v>
      </c>
      <c r="C139" s="72"/>
      <c r="D139" s="72"/>
      <c r="E139" s="72"/>
      <c r="F139" s="72"/>
      <c r="G139" s="72"/>
      <c r="H139" s="72"/>
      <c r="I139" s="73" t="s">
        <v>747</v>
      </c>
      <c r="J139" s="73"/>
      <c r="K139" s="73"/>
      <c r="L139" s="72"/>
      <c r="M139" s="72"/>
      <c r="N139" s="72"/>
    </row>
    <row r="140" spans="1:14" ht="14.45" customHeight="1" x14ac:dyDescent="0.2">
      <c r="A140" s="52" t="s">
        <v>775</v>
      </c>
      <c r="B140" s="72" t="s">
        <v>1037</v>
      </c>
      <c r="C140" s="72"/>
      <c r="D140" s="72"/>
      <c r="E140" s="72"/>
      <c r="F140" s="72"/>
      <c r="G140" s="72"/>
      <c r="H140" s="72"/>
      <c r="I140" s="73" t="s">
        <v>747</v>
      </c>
      <c r="J140" s="73"/>
      <c r="K140" s="73"/>
      <c r="L140" s="72"/>
      <c r="M140" s="72"/>
      <c r="N140" s="72"/>
    </row>
    <row r="141" spans="1:14" ht="14.45" customHeight="1" x14ac:dyDescent="0.2">
      <c r="A141" s="52" t="s">
        <v>776</v>
      </c>
      <c r="B141" s="72" t="s">
        <v>1037</v>
      </c>
      <c r="C141" s="72"/>
      <c r="D141" s="72"/>
      <c r="E141" s="72"/>
      <c r="F141" s="72"/>
      <c r="G141" s="72"/>
      <c r="H141" s="72"/>
      <c r="I141" s="73" t="s">
        <v>747</v>
      </c>
      <c r="J141" s="73"/>
      <c r="K141" s="73"/>
      <c r="L141" s="72"/>
      <c r="M141" s="72"/>
      <c r="N141" s="72"/>
    </row>
    <row r="142" spans="1:14" ht="14.45" customHeight="1" x14ac:dyDescent="0.2">
      <c r="A142" s="52" t="s">
        <v>777</v>
      </c>
      <c r="B142" s="72" t="s">
        <v>1037</v>
      </c>
      <c r="C142" s="72"/>
      <c r="D142" s="72"/>
      <c r="E142" s="72"/>
      <c r="F142" s="72"/>
      <c r="G142" s="72"/>
      <c r="H142" s="72"/>
      <c r="I142" s="73" t="s">
        <v>747</v>
      </c>
      <c r="J142" s="73"/>
      <c r="K142" s="73"/>
      <c r="L142" s="72"/>
      <c r="M142" s="72"/>
      <c r="N142" s="72"/>
    </row>
    <row r="143" spans="1:14" ht="14.45" customHeight="1" x14ac:dyDescent="0.2">
      <c r="A143" s="52" t="s">
        <v>778</v>
      </c>
      <c r="B143" s="72" t="s">
        <v>1037</v>
      </c>
      <c r="C143" s="72"/>
      <c r="D143" s="72"/>
      <c r="E143" s="72"/>
      <c r="F143" s="72"/>
      <c r="G143" s="72"/>
      <c r="H143" s="72"/>
      <c r="I143" s="73" t="s">
        <v>747</v>
      </c>
      <c r="J143" s="73"/>
      <c r="K143" s="73"/>
      <c r="L143" s="72"/>
      <c r="M143" s="72"/>
      <c r="N143" s="72"/>
    </row>
    <row r="144" spans="1:14" ht="14.45" customHeight="1" x14ac:dyDescent="0.2">
      <c r="A144" s="52" t="s">
        <v>779</v>
      </c>
      <c r="B144" s="72" t="s">
        <v>1037</v>
      </c>
      <c r="C144" s="72"/>
      <c r="D144" s="72"/>
      <c r="E144" s="72"/>
      <c r="F144" s="72"/>
      <c r="G144" s="72"/>
      <c r="H144" s="72"/>
      <c r="I144" s="73" t="s">
        <v>747</v>
      </c>
      <c r="J144" s="73"/>
      <c r="K144" s="73"/>
      <c r="L144" s="72"/>
      <c r="M144" s="72"/>
      <c r="N144" s="72"/>
    </row>
    <row r="145" spans="1:14" ht="14.45" customHeight="1" x14ac:dyDescent="0.2">
      <c r="A145" s="52" t="s">
        <v>780</v>
      </c>
      <c r="B145" s="72" t="s">
        <v>1048</v>
      </c>
      <c r="C145" s="72"/>
      <c r="D145" s="72"/>
      <c r="E145" s="72"/>
      <c r="F145" s="72"/>
      <c r="G145" s="72"/>
      <c r="H145" s="72"/>
      <c r="I145" s="73" t="s">
        <v>747</v>
      </c>
      <c r="J145" s="73"/>
      <c r="K145" s="73"/>
      <c r="L145" s="72"/>
      <c r="M145" s="72"/>
      <c r="N145" s="72"/>
    </row>
    <row r="146" spans="1:14" ht="14.45" customHeight="1" x14ac:dyDescent="0.2">
      <c r="A146" s="52" t="s">
        <v>781</v>
      </c>
      <c r="B146" s="72" t="s">
        <v>1049</v>
      </c>
      <c r="C146" s="72"/>
      <c r="D146" s="72"/>
      <c r="E146" s="72"/>
      <c r="F146" s="72"/>
      <c r="G146" s="72"/>
      <c r="H146" s="72"/>
      <c r="I146" s="73" t="s">
        <v>747</v>
      </c>
      <c r="J146" s="73"/>
      <c r="K146" s="73"/>
      <c r="L146" s="72"/>
      <c r="M146" s="72"/>
      <c r="N146" s="72"/>
    </row>
    <row r="147" spans="1:14" ht="14.45" customHeight="1" x14ac:dyDescent="0.2">
      <c r="A147" s="63" t="s">
        <v>796</v>
      </c>
      <c r="B147" s="74" t="s">
        <v>801</v>
      </c>
      <c r="C147" s="75"/>
      <c r="D147" s="75"/>
      <c r="E147" s="75"/>
      <c r="F147" s="75"/>
      <c r="G147" s="75"/>
      <c r="H147" s="75"/>
      <c r="I147" s="75"/>
      <c r="J147" s="75"/>
      <c r="K147" s="75"/>
      <c r="L147" s="76" t="s">
        <v>5</v>
      </c>
      <c r="M147" s="76"/>
      <c r="N147" s="76"/>
    </row>
    <row r="148" spans="1:14" ht="14.45" customHeight="1" x14ac:dyDescent="0.2">
      <c r="A148" s="53" t="s">
        <v>782</v>
      </c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</row>
    <row r="149" spans="1:14" ht="14.45" customHeight="1" x14ac:dyDescent="0.2">
      <c r="A149" s="53" t="s">
        <v>783</v>
      </c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2"/>
      <c r="M149" s="72"/>
      <c r="N149" s="72"/>
    </row>
    <row r="150" spans="1:14" ht="14.45" customHeight="1" x14ac:dyDescent="0.2">
      <c r="A150" s="53" t="s">
        <v>784</v>
      </c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2"/>
      <c r="M150" s="72"/>
      <c r="N150" s="72"/>
    </row>
    <row r="151" spans="1:14" ht="14.45" customHeight="1" thickBot="1" x14ac:dyDescent="0.25">
      <c r="A151" s="53" t="s">
        <v>785</v>
      </c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2"/>
      <c r="M151" s="72"/>
      <c r="N151" s="72"/>
    </row>
    <row r="152" spans="1:14" ht="14.45" customHeight="1" thickBot="1" x14ac:dyDescent="0.25">
      <c r="A152" s="68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70"/>
    </row>
    <row r="153" spans="1:14" ht="14.45" customHeight="1" x14ac:dyDescent="0.2">
      <c r="A153" s="53" t="s">
        <v>786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</row>
    <row r="154" spans="1:14" ht="14.45" customHeight="1" x14ac:dyDescent="0.2">
      <c r="A154" s="53" t="s">
        <v>787</v>
      </c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</row>
    <row r="155" spans="1:14" ht="14.45" customHeight="1" x14ac:dyDescent="0.2">
      <c r="A155" s="53" t="s">
        <v>788</v>
      </c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</row>
    <row r="156" spans="1:14" ht="14.45" customHeight="1" x14ac:dyDescent="0.2">
      <c r="A156" s="53" t="s">
        <v>789</v>
      </c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</row>
    <row r="157" spans="1:14" ht="14.45" customHeight="1" x14ac:dyDescent="0.2">
      <c r="A157" s="53" t="s">
        <v>790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 spans="1:14" ht="14.45" customHeight="1" x14ac:dyDescent="0.2">
      <c r="A158" s="53" t="s">
        <v>791</v>
      </c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</row>
    <row r="159" spans="1:14" ht="14.45" customHeight="1" x14ac:dyDescent="0.2">
      <c r="A159" s="53" t="s">
        <v>792</v>
      </c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</row>
    <row r="160" spans="1:14" ht="14.45" customHeight="1" thickBot="1" x14ac:dyDescent="0.25">
      <c r="A160" s="53" t="s">
        <v>793</v>
      </c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</row>
    <row r="161" spans="1:14" ht="14.45" customHeight="1" thickBot="1" x14ac:dyDescent="0.25">
      <c r="A161" s="68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70"/>
    </row>
    <row r="162" spans="1:14" ht="14.45" customHeight="1" x14ac:dyDescent="0.2">
      <c r="A162" s="53" t="s">
        <v>794</v>
      </c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</row>
    <row r="163" spans="1:14" ht="14.45" customHeight="1" thickBot="1" x14ac:dyDescent="0.25">
      <c r="A163" s="53" t="s">
        <v>795</v>
      </c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</row>
    <row r="164" spans="1:14" ht="38.1" customHeight="1" thickBot="1" x14ac:dyDescent="0.25">
      <c r="A164" s="79" t="s">
        <v>798</v>
      </c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1"/>
    </row>
    <row r="165" spans="1:14" ht="14.45" customHeight="1" x14ac:dyDescent="0.2">
      <c r="A165" s="64" t="s">
        <v>741</v>
      </c>
      <c r="B165" s="82" t="s">
        <v>742</v>
      </c>
      <c r="C165" s="82"/>
      <c r="D165" s="82"/>
      <c r="E165" s="82"/>
      <c r="F165" s="82"/>
      <c r="G165" s="82"/>
      <c r="H165" s="82"/>
      <c r="I165" s="82" t="s">
        <v>743</v>
      </c>
      <c r="J165" s="82"/>
      <c r="K165" s="82"/>
      <c r="L165" s="82" t="s">
        <v>5</v>
      </c>
      <c r="M165" s="82"/>
      <c r="N165" s="82"/>
    </row>
    <row r="166" spans="1:14" ht="14.45" customHeight="1" x14ac:dyDescent="0.2">
      <c r="A166" s="52" t="s">
        <v>750</v>
      </c>
      <c r="B166" s="72" t="s">
        <v>1011</v>
      </c>
      <c r="C166" s="72"/>
      <c r="D166" s="72"/>
      <c r="E166" s="72"/>
      <c r="F166" s="72"/>
      <c r="G166" s="72"/>
      <c r="H166" s="72"/>
      <c r="I166" s="73" t="s">
        <v>746</v>
      </c>
      <c r="J166" s="73"/>
      <c r="K166" s="73"/>
      <c r="L166" s="77"/>
      <c r="M166" s="77"/>
      <c r="N166" s="77"/>
    </row>
    <row r="167" spans="1:14" ht="14.45" customHeight="1" x14ac:dyDescent="0.2">
      <c r="A167" s="52" t="s">
        <v>751</v>
      </c>
      <c r="B167" s="72" t="s">
        <v>1012</v>
      </c>
      <c r="C167" s="72"/>
      <c r="D167" s="72"/>
      <c r="E167" s="72"/>
      <c r="F167" s="72"/>
      <c r="G167" s="72"/>
      <c r="H167" s="72"/>
      <c r="I167" s="73" t="s">
        <v>746</v>
      </c>
      <c r="J167" s="73"/>
      <c r="K167" s="73"/>
      <c r="L167" s="72"/>
      <c r="M167" s="72"/>
      <c r="N167" s="72"/>
    </row>
    <row r="168" spans="1:14" ht="14.45" customHeight="1" x14ac:dyDescent="0.2">
      <c r="A168" s="52" t="s">
        <v>752</v>
      </c>
      <c r="B168" s="72" t="s">
        <v>1013</v>
      </c>
      <c r="C168" s="72"/>
      <c r="D168" s="72"/>
      <c r="E168" s="72"/>
      <c r="F168" s="72"/>
      <c r="G168" s="72"/>
      <c r="H168" s="72"/>
      <c r="I168" s="73" t="s">
        <v>746</v>
      </c>
      <c r="J168" s="73"/>
      <c r="K168" s="73"/>
      <c r="L168" s="72"/>
      <c r="M168" s="72"/>
      <c r="N168" s="72"/>
    </row>
    <row r="169" spans="1:14" ht="14.45" customHeight="1" x14ac:dyDescent="0.2">
      <c r="A169" s="52" t="s">
        <v>753</v>
      </c>
      <c r="B169" s="72" t="s">
        <v>1014</v>
      </c>
      <c r="C169" s="72"/>
      <c r="D169" s="72"/>
      <c r="E169" s="72"/>
      <c r="F169" s="72"/>
      <c r="G169" s="72"/>
      <c r="H169" s="72"/>
      <c r="I169" s="73" t="s">
        <v>746</v>
      </c>
      <c r="J169" s="73"/>
      <c r="K169" s="73"/>
      <c r="L169" s="72"/>
      <c r="M169" s="72"/>
      <c r="N169" s="72"/>
    </row>
    <row r="170" spans="1:14" ht="14.45" customHeight="1" x14ac:dyDescent="0.2">
      <c r="A170" s="52" t="s">
        <v>754</v>
      </c>
      <c r="B170" s="72" t="s">
        <v>1008</v>
      </c>
      <c r="C170" s="72"/>
      <c r="D170" s="72"/>
      <c r="E170" s="72"/>
      <c r="F170" s="72"/>
      <c r="G170" s="72"/>
      <c r="H170" s="72"/>
      <c r="I170" s="73" t="s">
        <v>746</v>
      </c>
      <c r="J170" s="73"/>
      <c r="K170" s="73"/>
      <c r="L170" s="72"/>
      <c r="M170" s="72"/>
      <c r="N170" s="72"/>
    </row>
    <row r="171" spans="1:14" ht="14.45" customHeight="1" x14ac:dyDescent="0.2">
      <c r="A171" s="52" t="s">
        <v>755</v>
      </c>
      <c r="B171" s="72" t="s">
        <v>1015</v>
      </c>
      <c r="C171" s="72"/>
      <c r="D171" s="72"/>
      <c r="E171" s="72"/>
      <c r="F171" s="72"/>
      <c r="G171" s="72"/>
      <c r="H171" s="72"/>
      <c r="I171" s="73" t="s">
        <v>746</v>
      </c>
      <c r="J171" s="73"/>
      <c r="K171" s="73"/>
      <c r="L171" s="72"/>
      <c r="M171" s="72"/>
      <c r="N171" s="72"/>
    </row>
    <row r="172" spans="1:14" ht="14.45" customHeight="1" x14ac:dyDescent="0.2">
      <c r="A172" s="52" t="s">
        <v>756</v>
      </c>
      <c r="B172" s="72" t="s">
        <v>1016</v>
      </c>
      <c r="C172" s="72"/>
      <c r="D172" s="72"/>
      <c r="E172" s="72"/>
      <c r="F172" s="72"/>
      <c r="G172" s="72"/>
      <c r="H172" s="72"/>
      <c r="I172" s="73" t="s">
        <v>746</v>
      </c>
      <c r="J172" s="73"/>
      <c r="K172" s="73"/>
      <c r="L172" s="72"/>
      <c r="M172" s="72"/>
      <c r="N172" s="72"/>
    </row>
    <row r="173" spans="1:14" ht="14.45" customHeight="1" x14ac:dyDescent="0.2">
      <c r="A173" s="52" t="s">
        <v>757</v>
      </c>
      <c r="B173" s="72" t="s">
        <v>1017</v>
      </c>
      <c r="C173" s="72"/>
      <c r="D173" s="72"/>
      <c r="E173" s="72"/>
      <c r="F173" s="72"/>
      <c r="G173" s="72"/>
      <c r="H173" s="72"/>
      <c r="I173" s="73" t="s">
        <v>746</v>
      </c>
      <c r="J173" s="73"/>
      <c r="K173" s="73"/>
      <c r="L173" s="72"/>
      <c r="M173" s="72"/>
      <c r="N173" s="72"/>
    </row>
    <row r="174" spans="1:14" ht="14.45" customHeight="1" x14ac:dyDescent="0.2">
      <c r="A174" s="52" t="s">
        <v>758</v>
      </c>
      <c r="B174" s="72" t="s">
        <v>1018</v>
      </c>
      <c r="C174" s="72"/>
      <c r="D174" s="72"/>
      <c r="E174" s="72"/>
      <c r="F174" s="72"/>
      <c r="G174" s="72"/>
      <c r="H174" s="72"/>
      <c r="I174" s="73" t="s">
        <v>746</v>
      </c>
      <c r="J174" s="73"/>
      <c r="K174" s="73"/>
      <c r="L174" s="72"/>
      <c r="M174" s="72"/>
      <c r="N174" s="72"/>
    </row>
    <row r="175" spans="1:14" ht="14.45" customHeight="1" x14ac:dyDescent="0.2">
      <c r="A175" s="52" t="s">
        <v>759</v>
      </c>
      <c r="B175" s="72" t="s">
        <v>1019</v>
      </c>
      <c r="C175" s="72"/>
      <c r="D175" s="72"/>
      <c r="E175" s="72"/>
      <c r="F175" s="72"/>
      <c r="G175" s="72"/>
      <c r="H175" s="72"/>
      <c r="I175" s="73" t="s">
        <v>746</v>
      </c>
      <c r="J175" s="73"/>
      <c r="K175" s="73"/>
      <c r="L175" s="72"/>
      <c r="M175" s="72"/>
      <c r="N175" s="72"/>
    </row>
    <row r="176" spans="1:14" ht="14.45" customHeight="1" x14ac:dyDescent="0.2">
      <c r="A176" s="52" t="s">
        <v>760</v>
      </c>
      <c r="B176" s="72" t="s">
        <v>1020</v>
      </c>
      <c r="C176" s="72"/>
      <c r="D176" s="72"/>
      <c r="E176" s="72"/>
      <c r="F176" s="72"/>
      <c r="G176" s="72"/>
      <c r="H176" s="72"/>
      <c r="I176" s="73" t="s">
        <v>746</v>
      </c>
      <c r="J176" s="73"/>
      <c r="K176" s="73"/>
      <c r="L176" s="72"/>
      <c r="M176" s="72"/>
      <c r="N176" s="72"/>
    </row>
    <row r="177" spans="1:14" ht="14.45" customHeight="1" x14ac:dyDescent="0.2">
      <c r="A177" s="52" t="s">
        <v>761</v>
      </c>
      <c r="B177" s="72" t="s">
        <v>1021</v>
      </c>
      <c r="C177" s="72"/>
      <c r="D177" s="72"/>
      <c r="E177" s="72"/>
      <c r="F177" s="72"/>
      <c r="G177" s="72"/>
      <c r="H177" s="72"/>
      <c r="I177" s="73" t="s">
        <v>746</v>
      </c>
      <c r="J177" s="73"/>
      <c r="K177" s="73"/>
      <c r="L177" s="72"/>
      <c r="M177" s="72"/>
      <c r="N177" s="72"/>
    </row>
    <row r="178" spans="1:14" ht="14.45" customHeight="1" x14ac:dyDescent="0.2">
      <c r="A178" s="52" t="s">
        <v>762</v>
      </c>
      <c r="B178" s="72" t="s">
        <v>1022</v>
      </c>
      <c r="C178" s="72"/>
      <c r="D178" s="72"/>
      <c r="E178" s="72"/>
      <c r="F178" s="72"/>
      <c r="G178" s="72"/>
      <c r="H178" s="72"/>
      <c r="I178" s="73" t="s">
        <v>746</v>
      </c>
      <c r="J178" s="73"/>
      <c r="K178" s="73"/>
      <c r="L178" s="72"/>
      <c r="M178" s="72"/>
      <c r="N178" s="72"/>
    </row>
    <row r="179" spans="1:14" ht="14.45" customHeight="1" x14ac:dyDescent="0.2">
      <c r="A179" s="52" t="s">
        <v>763</v>
      </c>
      <c r="B179" s="72"/>
      <c r="C179" s="72"/>
      <c r="D179" s="72"/>
      <c r="E179" s="72"/>
      <c r="F179" s="72"/>
      <c r="G179" s="72"/>
      <c r="H179" s="72"/>
      <c r="I179" s="73" t="s">
        <v>749</v>
      </c>
      <c r="J179" s="73"/>
      <c r="K179" s="73"/>
      <c r="L179" s="72"/>
      <c r="M179" s="72"/>
      <c r="N179" s="72"/>
    </row>
    <row r="180" spans="1:14" ht="14.45" customHeight="1" x14ac:dyDescent="0.2">
      <c r="A180" s="52" t="s">
        <v>764</v>
      </c>
      <c r="B180" s="72"/>
      <c r="C180" s="72"/>
      <c r="D180" s="72"/>
      <c r="E180" s="72"/>
      <c r="F180" s="72"/>
      <c r="G180" s="72"/>
      <c r="H180" s="72"/>
      <c r="I180" s="73" t="s">
        <v>749</v>
      </c>
      <c r="J180" s="73"/>
      <c r="K180" s="73"/>
      <c r="L180" s="72"/>
      <c r="M180" s="72"/>
      <c r="N180" s="72"/>
    </row>
    <row r="181" spans="1:14" ht="14.45" customHeight="1" x14ac:dyDescent="0.2">
      <c r="A181" s="52" t="s">
        <v>765</v>
      </c>
      <c r="B181" s="72"/>
      <c r="C181" s="72"/>
      <c r="D181" s="72"/>
      <c r="E181" s="72"/>
      <c r="F181" s="72"/>
      <c r="G181" s="72"/>
      <c r="H181" s="72"/>
      <c r="I181" s="73" t="s">
        <v>749</v>
      </c>
      <c r="J181" s="73"/>
      <c r="K181" s="73"/>
      <c r="L181" s="72"/>
      <c r="M181" s="72"/>
      <c r="N181" s="72"/>
    </row>
    <row r="182" spans="1:14" ht="14.45" customHeight="1" x14ac:dyDescent="0.2">
      <c r="A182" s="52" t="s">
        <v>766</v>
      </c>
      <c r="B182" s="72"/>
      <c r="C182" s="72"/>
      <c r="D182" s="72"/>
      <c r="E182" s="72"/>
      <c r="F182" s="72"/>
      <c r="G182" s="72"/>
      <c r="H182" s="72"/>
      <c r="I182" s="73" t="s">
        <v>749</v>
      </c>
      <c r="J182" s="73"/>
      <c r="K182" s="73"/>
      <c r="L182" s="72"/>
      <c r="M182" s="72"/>
      <c r="N182" s="72"/>
    </row>
    <row r="183" spans="1:14" ht="14.45" customHeight="1" x14ac:dyDescent="0.2">
      <c r="A183" s="52" t="s">
        <v>767</v>
      </c>
      <c r="B183" s="72"/>
      <c r="C183" s="72"/>
      <c r="D183" s="72"/>
      <c r="E183" s="72"/>
      <c r="F183" s="72"/>
      <c r="G183" s="72"/>
      <c r="H183" s="72"/>
      <c r="I183" s="73" t="s">
        <v>749</v>
      </c>
      <c r="J183" s="73"/>
      <c r="K183" s="73"/>
      <c r="L183" s="72"/>
      <c r="M183" s="72"/>
      <c r="N183" s="72"/>
    </row>
    <row r="184" spans="1:14" ht="14.45" customHeight="1" x14ac:dyDescent="0.2">
      <c r="A184" s="52" t="s">
        <v>768</v>
      </c>
      <c r="B184" s="72"/>
      <c r="C184" s="72"/>
      <c r="D184" s="72"/>
      <c r="E184" s="72"/>
      <c r="F184" s="72"/>
      <c r="G184" s="72"/>
      <c r="H184" s="72"/>
      <c r="I184" s="73" t="s">
        <v>749</v>
      </c>
      <c r="J184" s="73"/>
      <c r="K184" s="73"/>
      <c r="L184" s="72"/>
      <c r="M184" s="72"/>
      <c r="N184" s="72"/>
    </row>
    <row r="185" spans="1:14" ht="14.45" customHeight="1" x14ac:dyDescent="0.2">
      <c r="A185" s="52" t="s">
        <v>769</v>
      </c>
      <c r="B185" s="72"/>
      <c r="C185" s="72"/>
      <c r="D185" s="72"/>
      <c r="E185" s="72"/>
      <c r="F185" s="72"/>
      <c r="G185" s="72"/>
      <c r="H185" s="72"/>
      <c r="I185" s="73" t="s">
        <v>749</v>
      </c>
      <c r="J185" s="73"/>
      <c r="K185" s="73"/>
      <c r="L185" s="72"/>
      <c r="M185" s="72"/>
      <c r="N185" s="72"/>
    </row>
    <row r="186" spans="1:14" ht="14.45" customHeight="1" x14ac:dyDescent="0.2">
      <c r="A186" s="52" t="s">
        <v>770</v>
      </c>
      <c r="B186" s="72"/>
      <c r="C186" s="72"/>
      <c r="D186" s="72"/>
      <c r="E186" s="72"/>
      <c r="F186" s="72"/>
      <c r="G186" s="72"/>
      <c r="H186" s="72"/>
      <c r="I186" s="73" t="s">
        <v>749</v>
      </c>
      <c r="J186" s="73"/>
      <c r="K186" s="73"/>
      <c r="L186" s="72"/>
      <c r="M186" s="72"/>
      <c r="N186" s="72"/>
    </row>
    <row r="187" spans="1:14" ht="14.45" customHeight="1" x14ac:dyDescent="0.2">
      <c r="A187" s="52" t="s">
        <v>771</v>
      </c>
      <c r="B187" s="72"/>
      <c r="C187" s="72"/>
      <c r="D187" s="72"/>
      <c r="E187" s="72"/>
      <c r="F187" s="72"/>
      <c r="G187" s="72"/>
      <c r="H187" s="72"/>
      <c r="I187" s="73" t="s">
        <v>749</v>
      </c>
      <c r="J187" s="73"/>
      <c r="K187" s="73"/>
      <c r="L187" s="72"/>
      <c r="M187" s="72"/>
      <c r="N187" s="72"/>
    </row>
    <row r="188" spans="1:14" ht="14.45" customHeight="1" x14ac:dyDescent="0.2">
      <c r="A188" s="52" t="s">
        <v>772</v>
      </c>
      <c r="B188" s="72"/>
      <c r="C188" s="72"/>
      <c r="D188" s="72"/>
      <c r="E188" s="72"/>
      <c r="F188" s="72"/>
      <c r="G188" s="72"/>
      <c r="H188" s="72"/>
      <c r="I188" s="73" t="s">
        <v>749</v>
      </c>
      <c r="J188" s="73"/>
      <c r="K188" s="73"/>
      <c r="L188" s="72"/>
      <c r="M188" s="72"/>
      <c r="N188" s="72"/>
    </row>
    <row r="189" spans="1:14" ht="14.45" customHeight="1" x14ac:dyDescent="0.2">
      <c r="A189" s="52" t="s">
        <v>773</v>
      </c>
      <c r="B189" s="72"/>
      <c r="C189" s="72"/>
      <c r="D189" s="72"/>
      <c r="E189" s="72"/>
      <c r="F189" s="72"/>
      <c r="G189" s="72"/>
      <c r="H189" s="72"/>
      <c r="I189" s="73" t="s">
        <v>749</v>
      </c>
      <c r="J189" s="73"/>
      <c r="K189" s="73"/>
      <c r="L189" s="72"/>
      <c r="M189" s="72"/>
      <c r="N189" s="72"/>
    </row>
    <row r="190" spans="1:14" ht="14.45" customHeight="1" x14ac:dyDescent="0.2">
      <c r="A190" s="52" t="s">
        <v>774</v>
      </c>
      <c r="B190" s="72"/>
      <c r="C190" s="72"/>
      <c r="D190" s="72"/>
      <c r="E190" s="72"/>
      <c r="F190" s="72"/>
      <c r="G190" s="72"/>
      <c r="H190" s="72"/>
      <c r="I190" s="73" t="s">
        <v>749</v>
      </c>
      <c r="J190" s="73"/>
      <c r="K190" s="73"/>
      <c r="L190" s="72"/>
      <c r="M190" s="72"/>
      <c r="N190" s="72"/>
    </row>
    <row r="191" spans="1:14" ht="14.45" customHeight="1" x14ac:dyDescent="0.2">
      <c r="A191" s="52" t="s">
        <v>775</v>
      </c>
      <c r="B191" s="72"/>
      <c r="C191" s="72"/>
      <c r="D191" s="72"/>
      <c r="E191" s="72"/>
      <c r="F191" s="72"/>
      <c r="G191" s="72"/>
      <c r="H191" s="72"/>
      <c r="I191" s="73" t="s">
        <v>749</v>
      </c>
      <c r="J191" s="73"/>
      <c r="K191" s="73"/>
      <c r="L191" s="72"/>
      <c r="M191" s="72"/>
      <c r="N191" s="72"/>
    </row>
    <row r="192" spans="1:14" ht="14.45" customHeight="1" x14ac:dyDescent="0.2">
      <c r="A192" s="52" t="s">
        <v>776</v>
      </c>
      <c r="B192" s="72"/>
      <c r="C192" s="72"/>
      <c r="D192" s="72"/>
      <c r="E192" s="72"/>
      <c r="F192" s="72"/>
      <c r="G192" s="72"/>
      <c r="H192" s="72"/>
      <c r="I192" s="73" t="s">
        <v>749</v>
      </c>
      <c r="J192" s="73"/>
      <c r="K192" s="73"/>
      <c r="L192" s="72"/>
      <c r="M192" s="72"/>
      <c r="N192" s="72"/>
    </row>
    <row r="193" spans="1:14" ht="14.45" customHeight="1" x14ac:dyDescent="0.2">
      <c r="A193" s="52" t="s">
        <v>777</v>
      </c>
      <c r="B193" s="72"/>
      <c r="C193" s="72"/>
      <c r="D193" s="72"/>
      <c r="E193" s="72"/>
      <c r="F193" s="72"/>
      <c r="G193" s="72"/>
      <c r="H193" s="72"/>
      <c r="I193" s="73" t="s">
        <v>749</v>
      </c>
      <c r="J193" s="73"/>
      <c r="K193" s="73"/>
      <c r="L193" s="72"/>
      <c r="M193" s="72"/>
      <c r="N193" s="72"/>
    </row>
    <row r="194" spans="1:14" ht="14.45" customHeight="1" x14ac:dyDescent="0.2">
      <c r="A194" s="52" t="s">
        <v>778</v>
      </c>
      <c r="B194" s="72"/>
      <c r="C194" s="72"/>
      <c r="D194" s="72"/>
      <c r="E194" s="72"/>
      <c r="F194" s="72"/>
      <c r="G194" s="72"/>
      <c r="H194" s="72"/>
      <c r="I194" s="73" t="s">
        <v>749</v>
      </c>
      <c r="J194" s="73"/>
      <c r="K194" s="73"/>
      <c r="L194" s="72"/>
      <c r="M194" s="72"/>
      <c r="N194" s="72"/>
    </row>
    <row r="195" spans="1:14" ht="14.45" customHeight="1" x14ac:dyDescent="0.2">
      <c r="A195" s="52" t="s">
        <v>779</v>
      </c>
      <c r="B195" s="72"/>
      <c r="C195" s="72"/>
      <c r="D195" s="72"/>
      <c r="E195" s="72"/>
      <c r="F195" s="72"/>
      <c r="G195" s="72"/>
      <c r="H195" s="72"/>
      <c r="I195" s="73" t="s">
        <v>749</v>
      </c>
      <c r="J195" s="73"/>
      <c r="K195" s="73"/>
      <c r="L195" s="72"/>
      <c r="M195" s="72"/>
      <c r="N195" s="72"/>
    </row>
    <row r="196" spans="1:14" ht="14.45" customHeight="1" x14ac:dyDescent="0.2">
      <c r="A196" s="52" t="s">
        <v>780</v>
      </c>
      <c r="B196" s="72"/>
      <c r="C196" s="72"/>
      <c r="D196" s="72"/>
      <c r="E196" s="72"/>
      <c r="F196" s="72"/>
      <c r="G196" s="72"/>
      <c r="H196" s="72"/>
      <c r="I196" s="73" t="s">
        <v>749</v>
      </c>
      <c r="J196" s="73"/>
      <c r="K196" s="73"/>
      <c r="L196" s="72"/>
      <c r="M196" s="72"/>
      <c r="N196" s="72"/>
    </row>
    <row r="197" spans="1:14" ht="14.45" customHeight="1" x14ac:dyDescent="0.2">
      <c r="A197" s="52" t="s">
        <v>781</v>
      </c>
      <c r="B197" s="72"/>
      <c r="C197" s="72"/>
      <c r="D197" s="72"/>
      <c r="E197" s="72"/>
      <c r="F197" s="72"/>
      <c r="G197" s="72"/>
      <c r="H197" s="72"/>
      <c r="I197" s="73" t="s">
        <v>749</v>
      </c>
      <c r="J197" s="73"/>
      <c r="K197" s="73"/>
      <c r="L197" s="72"/>
      <c r="M197" s="72"/>
      <c r="N197" s="72"/>
    </row>
    <row r="198" spans="1:14" ht="14.45" customHeight="1" x14ac:dyDescent="0.2">
      <c r="A198" s="63" t="s">
        <v>796</v>
      </c>
      <c r="B198" s="74" t="s">
        <v>801</v>
      </c>
      <c r="C198" s="75"/>
      <c r="D198" s="75"/>
      <c r="E198" s="75"/>
      <c r="F198" s="75"/>
      <c r="G198" s="75"/>
      <c r="H198" s="75"/>
      <c r="I198" s="75"/>
      <c r="J198" s="75"/>
      <c r="K198" s="75"/>
      <c r="L198" s="76" t="s">
        <v>5</v>
      </c>
      <c r="M198" s="76"/>
      <c r="N198" s="76"/>
    </row>
    <row r="199" spans="1:14" ht="14.45" customHeight="1" x14ac:dyDescent="0.2">
      <c r="A199" s="53" t="s">
        <v>782</v>
      </c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</row>
    <row r="200" spans="1:14" ht="14.45" customHeight="1" x14ac:dyDescent="0.2">
      <c r="A200" s="53" t="s">
        <v>783</v>
      </c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2"/>
      <c r="M200" s="72"/>
      <c r="N200" s="72"/>
    </row>
    <row r="201" spans="1:14" ht="14.45" customHeight="1" x14ac:dyDescent="0.2">
      <c r="A201" s="53" t="s">
        <v>784</v>
      </c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2"/>
      <c r="M201" s="72"/>
      <c r="N201" s="72"/>
    </row>
    <row r="202" spans="1:14" ht="14.45" customHeight="1" thickBot="1" x14ac:dyDescent="0.25">
      <c r="A202" s="53" t="s">
        <v>785</v>
      </c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2"/>
      <c r="M202" s="72"/>
      <c r="N202" s="72"/>
    </row>
    <row r="203" spans="1:14" ht="14.45" customHeight="1" thickBot="1" x14ac:dyDescent="0.25">
      <c r="A203" s="68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70"/>
    </row>
    <row r="204" spans="1:14" ht="14.45" customHeight="1" x14ac:dyDescent="0.2">
      <c r="A204" s="53" t="s">
        <v>786</v>
      </c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</row>
    <row r="205" spans="1:14" ht="14.45" customHeight="1" x14ac:dyDescent="0.2">
      <c r="A205" s="53" t="s">
        <v>787</v>
      </c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</row>
    <row r="206" spans="1:14" ht="14.45" customHeight="1" x14ac:dyDescent="0.2">
      <c r="A206" s="53" t="s">
        <v>788</v>
      </c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</row>
    <row r="207" spans="1:14" ht="14.45" customHeight="1" x14ac:dyDescent="0.2">
      <c r="A207" s="53" t="s">
        <v>789</v>
      </c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</row>
    <row r="208" spans="1:14" ht="14.45" customHeight="1" x14ac:dyDescent="0.2">
      <c r="A208" s="53" t="s">
        <v>790</v>
      </c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</row>
    <row r="209" spans="1:14" ht="14.45" customHeight="1" x14ac:dyDescent="0.2">
      <c r="A209" s="53" t="s">
        <v>791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</row>
    <row r="210" spans="1:14" ht="14.45" customHeight="1" x14ac:dyDescent="0.2">
      <c r="A210" s="53" t="s">
        <v>792</v>
      </c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</row>
    <row r="211" spans="1:14" ht="14.45" customHeight="1" thickBot="1" x14ac:dyDescent="0.25">
      <c r="A211" s="53" t="s">
        <v>793</v>
      </c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</row>
    <row r="212" spans="1:14" ht="14.45" customHeight="1" thickBot="1" x14ac:dyDescent="0.25">
      <c r="A212" s="68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70"/>
    </row>
    <row r="213" spans="1:14" ht="14.45" customHeight="1" x14ac:dyDescent="0.2">
      <c r="A213" s="53" t="s">
        <v>794</v>
      </c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</row>
    <row r="214" spans="1:14" ht="14.45" customHeight="1" thickBot="1" x14ac:dyDescent="0.25">
      <c r="A214" s="53" t="s">
        <v>795</v>
      </c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</row>
    <row r="215" spans="1:14" ht="38.1" customHeight="1" thickBot="1" x14ac:dyDescent="0.25">
      <c r="A215" s="79" t="s">
        <v>797</v>
      </c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1"/>
    </row>
    <row r="216" spans="1:14" ht="14.45" customHeight="1" x14ac:dyDescent="0.2">
      <c r="A216" s="64" t="s">
        <v>741</v>
      </c>
      <c r="B216" s="82" t="s">
        <v>742</v>
      </c>
      <c r="C216" s="82"/>
      <c r="D216" s="82"/>
      <c r="E216" s="82"/>
      <c r="F216" s="82"/>
      <c r="G216" s="82"/>
      <c r="H216" s="82"/>
      <c r="I216" s="82" t="s">
        <v>743</v>
      </c>
      <c r="J216" s="82"/>
      <c r="K216" s="82"/>
      <c r="L216" s="82" t="s">
        <v>5</v>
      </c>
      <c r="M216" s="82"/>
      <c r="N216" s="82"/>
    </row>
    <row r="217" spans="1:14" ht="14.45" customHeight="1" x14ac:dyDescent="0.2">
      <c r="A217" s="52" t="s">
        <v>750</v>
      </c>
      <c r="B217" s="72"/>
      <c r="C217" s="72"/>
      <c r="D217" s="72"/>
      <c r="E217" s="72"/>
      <c r="F217" s="72"/>
      <c r="G217" s="72"/>
      <c r="H217" s="72"/>
      <c r="I217" s="73" t="s">
        <v>749</v>
      </c>
      <c r="J217" s="73"/>
      <c r="K217" s="73"/>
      <c r="L217" s="77"/>
      <c r="M217" s="77"/>
      <c r="N217" s="77"/>
    </row>
    <row r="218" spans="1:14" ht="14.45" customHeight="1" x14ac:dyDescent="0.2">
      <c r="A218" s="52" t="s">
        <v>751</v>
      </c>
      <c r="B218" s="72"/>
      <c r="C218" s="72"/>
      <c r="D218" s="72"/>
      <c r="E218" s="72"/>
      <c r="F218" s="72"/>
      <c r="G218" s="72"/>
      <c r="H218" s="72"/>
      <c r="I218" s="73" t="s">
        <v>749</v>
      </c>
      <c r="J218" s="73"/>
      <c r="K218" s="73"/>
      <c r="L218" s="72"/>
      <c r="M218" s="72"/>
      <c r="N218" s="72"/>
    </row>
    <row r="219" spans="1:14" ht="14.45" customHeight="1" x14ac:dyDescent="0.2">
      <c r="A219" s="52" t="s">
        <v>752</v>
      </c>
      <c r="B219" s="72"/>
      <c r="C219" s="72"/>
      <c r="D219" s="72"/>
      <c r="E219" s="72"/>
      <c r="F219" s="72"/>
      <c r="G219" s="72"/>
      <c r="H219" s="72"/>
      <c r="I219" s="73" t="s">
        <v>749</v>
      </c>
      <c r="J219" s="73"/>
      <c r="K219" s="73"/>
      <c r="L219" s="72"/>
      <c r="M219" s="72"/>
      <c r="N219" s="72"/>
    </row>
    <row r="220" spans="1:14" ht="14.45" customHeight="1" x14ac:dyDescent="0.2">
      <c r="A220" s="52" t="s">
        <v>753</v>
      </c>
      <c r="B220" s="72"/>
      <c r="C220" s="72"/>
      <c r="D220" s="72"/>
      <c r="E220" s="72"/>
      <c r="F220" s="72"/>
      <c r="G220" s="72"/>
      <c r="H220" s="72"/>
      <c r="I220" s="73" t="s">
        <v>749</v>
      </c>
      <c r="J220" s="73"/>
      <c r="K220" s="73"/>
      <c r="L220" s="72"/>
      <c r="M220" s="72"/>
      <c r="N220" s="72"/>
    </row>
    <row r="221" spans="1:14" ht="14.45" customHeight="1" x14ac:dyDescent="0.2">
      <c r="A221" s="52" t="s">
        <v>754</v>
      </c>
      <c r="B221" s="72"/>
      <c r="C221" s="72"/>
      <c r="D221" s="72"/>
      <c r="E221" s="72"/>
      <c r="F221" s="72"/>
      <c r="G221" s="72"/>
      <c r="H221" s="72"/>
      <c r="I221" s="73" t="s">
        <v>749</v>
      </c>
      <c r="J221" s="73"/>
      <c r="K221" s="73"/>
      <c r="L221" s="72"/>
      <c r="M221" s="72"/>
      <c r="N221" s="72"/>
    </row>
    <row r="222" spans="1:14" ht="14.45" customHeight="1" x14ac:dyDescent="0.2">
      <c r="A222" s="52" t="s">
        <v>755</v>
      </c>
      <c r="B222" s="72"/>
      <c r="C222" s="72"/>
      <c r="D222" s="72"/>
      <c r="E222" s="72"/>
      <c r="F222" s="72"/>
      <c r="G222" s="72"/>
      <c r="H222" s="72"/>
      <c r="I222" s="73" t="s">
        <v>749</v>
      </c>
      <c r="J222" s="73"/>
      <c r="K222" s="73"/>
      <c r="L222" s="72"/>
      <c r="M222" s="72"/>
      <c r="N222" s="72"/>
    </row>
    <row r="223" spans="1:14" ht="14.45" customHeight="1" x14ac:dyDescent="0.2">
      <c r="A223" s="52" t="s">
        <v>756</v>
      </c>
      <c r="B223" s="72"/>
      <c r="C223" s="72"/>
      <c r="D223" s="72"/>
      <c r="E223" s="72"/>
      <c r="F223" s="72"/>
      <c r="G223" s="72"/>
      <c r="H223" s="72"/>
      <c r="I223" s="73" t="s">
        <v>749</v>
      </c>
      <c r="J223" s="73"/>
      <c r="K223" s="73"/>
      <c r="L223" s="72"/>
      <c r="M223" s="72"/>
      <c r="N223" s="72"/>
    </row>
    <row r="224" spans="1:14" ht="14.45" customHeight="1" x14ac:dyDescent="0.2">
      <c r="A224" s="52" t="s">
        <v>757</v>
      </c>
      <c r="B224" s="72"/>
      <c r="C224" s="72"/>
      <c r="D224" s="72"/>
      <c r="E224" s="72"/>
      <c r="F224" s="72"/>
      <c r="G224" s="72"/>
      <c r="H224" s="72"/>
      <c r="I224" s="73" t="s">
        <v>749</v>
      </c>
      <c r="J224" s="73"/>
      <c r="K224" s="73"/>
      <c r="L224" s="72"/>
      <c r="M224" s="72"/>
      <c r="N224" s="72"/>
    </row>
    <row r="225" spans="1:14" ht="14.45" customHeight="1" x14ac:dyDescent="0.2">
      <c r="A225" s="52" t="s">
        <v>758</v>
      </c>
      <c r="B225" s="72"/>
      <c r="C225" s="72"/>
      <c r="D225" s="72"/>
      <c r="E225" s="72"/>
      <c r="F225" s="72"/>
      <c r="G225" s="72"/>
      <c r="H225" s="72"/>
      <c r="I225" s="73" t="s">
        <v>749</v>
      </c>
      <c r="J225" s="73"/>
      <c r="K225" s="73"/>
      <c r="L225" s="72"/>
      <c r="M225" s="72"/>
      <c r="N225" s="72"/>
    </row>
    <row r="226" spans="1:14" ht="14.45" customHeight="1" x14ac:dyDescent="0.2">
      <c r="A226" s="52" t="s">
        <v>759</v>
      </c>
      <c r="B226" s="72"/>
      <c r="C226" s="72"/>
      <c r="D226" s="72"/>
      <c r="E226" s="72"/>
      <c r="F226" s="72"/>
      <c r="G226" s="72"/>
      <c r="H226" s="72"/>
      <c r="I226" s="73" t="s">
        <v>749</v>
      </c>
      <c r="J226" s="73"/>
      <c r="K226" s="73"/>
      <c r="L226" s="72"/>
      <c r="M226" s="72"/>
      <c r="N226" s="72"/>
    </row>
    <row r="227" spans="1:14" ht="14.45" customHeight="1" x14ac:dyDescent="0.2">
      <c r="A227" s="52" t="s">
        <v>760</v>
      </c>
      <c r="B227" s="72"/>
      <c r="C227" s="72"/>
      <c r="D227" s="72"/>
      <c r="E227" s="72"/>
      <c r="F227" s="72"/>
      <c r="G227" s="72"/>
      <c r="H227" s="72"/>
      <c r="I227" s="73" t="s">
        <v>749</v>
      </c>
      <c r="J227" s="73"/>
      <c r="K227" s="73"/>
      <c r="L227" s="72"/>
      <c r="M227" s="72"/>
      <c r="N227" s="72"/>
    </row>
    <row r="228" spans="1:14" ht="14.45" customHeight="1" x14ac:dyDescent="0.2">
      <c r="A228" s="52" t="s">
        <v>761</v>
      </c>
      <c r="B228" s="72"/>
      <c r="C228" s="72"/>
      <c r="D228" s="72"/>
      <c r="E228" s="72"/>
      <c r="F228" s="72"/>
      <c r="G228" s="72"/>
      <c r="H228" s="72"/>
      <c r="I228" s="73" t="s">
        <v>749</v>
      </c>
      <c r="J228" s="73"/>
      <c r="K228" s="73"/>
      <c r="L228" s="72"/>
      <c r="M228" s="72"/>
      <c r="N228" s="72"/>
    </row>
    <row r="229" spans="1:14" ht="14.45" customHeight="1" x14ac:dyDescent="0.2">
      <c r="A229" s="52" t="s">
        <v>762</v>
      </c>
      <c r="B229" s="72"/>
      <c r="C229" s="72"/>
      <c r="D229" s="72"/>
      <c r="E229" s="72"/>
      <c r="F229" s="72"/>
      <c r="G229" s="72"/>
      <c r="H229" s="72"/>
      <c r="I229" s="73" t="s">
        <v>749</v>
      </c>
      <c r="J229" s="73"/>
      <c r="K229" s="73"/>
      <c r="L229" s="72"/>
      <c r="M229" s="72"/>
      <c r="N229" s="72"/>
    </row>
    <row r="230" spans="1:14" ht="14.45" customHeight="1" x14ac:dyDescent="0.2">
      <c r="A230" s="52" t="s">
        <v>763</v>
      </c>
      <c r="B230" s="72"/>
      <c r="C230" s="72"/>
      <c r="D230" s="72"/>
      <c r="E230" s="72"/>
      <c r="F230" s="72"/>
      <c r="G230" s="72"/>
      <c r="H230" s="72"/>
      <c r="I230" s="73" t="s">
        <v>749</v>
      </c>
      <c r="J230" s="73"/>
      <c r="K230" s="73"/>
      <c r="L230" s="72"/>
      <c r="M230" s="72"/>
      <c r="N230" s="72"/>
    </row>
    <row r="231" spans="1:14" ht="14.45" customHeight="1" x14ac:dyDescent="0.2">
      <c r="A231" s="52" t="s">
        <v>764</v>
      </c>
      <c r="B231" s="72"/>
      <c r="C231" s="72"/>
      <c r="D231" s="72"/>
      <c r="E231" s="72"/>
      <c r="F231" s="72"/>
      <c r="G231" s="72"/>
      <c r="H231" s="72"/>
      <c r="I231" s="73" t="s">
        <v>749</v>
      </c>
      <c r="J231" s="73"/>
      <c r="K231" s="73"/>
      <c r="L231" s="72"/>
      <c r="M231" s="72"/>
      <c r="N231" s="72"/>
    </row>
    <row r="232" spans="1:14" ht="14.45" customHeight="1" x14ac:dyDescent="0.2">
      <c r="A232" s="52" t="s">
        <v>765</v>
      </c>
      <c r="B232" s="72"/>
      <c r="C232" s="72"/>
      <c r="D232" s="72"/>
      <c r="E232" s="72"/>
      <c r="F232" s="72"/>
      <c r="G232" s="72"/>
      <c r="H232" s="72"/>
      <c r="I232" s="73" t="s">
        <v>749</v>
      </c>
      <c r="J232" s="73"/>
      <c r="K232" s="73"/>
      <c r="L232" s="72"/>
      <c r="M232" s="72"/>
      <c r="N232" s="72"/>
    </row>
    <row r="233" spans="1:14" ht="14.45" customHeight="1" x14ac:dyDescent="0.2">
      <c r="A233" s="52" t="s">
        <v>766</v>
      </c>
      <c r="B233" s="72"/>
      <c r="C233" s="72"/>
      <c r="D233" s="72"/>
      <c r="E233" s="72"/>
      <c r="F233" s="72"/>
      <c r="G233" s="72"/>
      <c r="H233" s="72"/>
      <c r="I233" s="73" t="s">
        <v>749</v>
      </c>
      <c r="J233" s="73"/>
      <c r="K233" s="73"/>
      <c r="L233" s="72"/>
      <c r="M233" s="72"/>
      <c r="N233" s="72"/>
    </row>
    <row r="234" spans="1:14" ht="14.45" customHeight="1" x14ac:dyDescent="0.2">
      <c r="A234" s="52" t="s">
        <v>767</v>
      </c>
      <c r="B234" s="72"/>
      <c r="C234" s="72"/>
      <c r="D234" s="72"/>
      <c r="E234" s="72"/>
      <c r="F234" s="72"/>
      <c r="G234" s="72"/>
      <c r="H234" s="72"/>
      <c r="I234" s="73" t="s">
        <v>749</v>
      </c>
      <c r="J234" s="73"/>
      <c r="K234" s="73"/>
      <c r="L234" s="72"/>
      <c r="M234" s="72"/>
      <c r="N234" s="72"/>
    </row>
    <row r="235" spans="1:14" ht="14.45" customHeight="1" x14ac:dyDescent="0.2">
      <c r="A235" s="52" t="s">
        <v>768</v>
      </c>
      <c r="B235" s="72"/>
      <c r="C235" s="72"/>
      <c r="D235" s="72"/>
      <c r="E235" s="72"/>
      <c r="F235" s="72"/>
      <c r="G235" s="72"/>
      <c r="H235" s="72"/>
      <c r="I235" s="73" t="s">
        <v>749</v>
      </c>
      <c r="J235" s="73"/>
      <c r="K235" s="73"/>
      <c r="L235" s="72"/>
      <c r="M235" s="72"/>
      <c r="N235" s="72"/>
    </row>
    <row r="236" spans="1:14" ht="14.45" customHeight="1" x14ac:dyDescent="0.2">
      <c r="A236" s="52" t="s">
        <v>769</v>
      </c>
      <c r="B236" s="72"/>
      <c r="C236" s="72"/>
      <c r="D236" s="72"/>
      <c r="E236" s="72"/>
      <c r="F236" s="72"/>
      <c r="G236" s="72"/>
      <c r="H236" s="72"/>
      <c r="I236" s="73" t="s">
        <v>749</v>
      </c>
      <c r="J236" s="73"/>
      <c r="K236" s="73"/>
      <c r="L236" s="72"/>
      <c r="M236" s="72"/>
      <c r="N236" s="72"/>
    </row>
    <row r="237" spans="1:14" ht="14.45" customHeight="1" x14ac:dyDescent="0.2">
      <c r="A237" s="52" t="s">
        <v>770</v>
      </c>
      <c r="B237" s="72"/>
      <c r="C237" s="72"/>
      <c r="D237" s="72"/>
      <c r="E237" s="72"/>
      <c r="F237" s="72"/>
      <c r="G237" s="72"/>
      <c r="H237" s="72"/>
      <c r="I237" s="73" t="s">
        <v>749</v>
      </c>
      <c r="J237" s="73"/>
      <c r="K237" s="73"/>
      <c r="L237" s="72"/>
      <c r="M237" s="72"/>
      <c r="N237" s="72"/>
    </row>
    <row r="238" spans="1:14" ht="14.45" customHeight="1" x14ac:dyDescent="0.2">
      <c r="A238" s="52" t="s">
        <v>771</v>
      </c>
      <c r="B238" s="72"/>
      <c r="C238" s="72"/>
      <c r="D238" s="72"/>
      <c r="E238" s="72"/>
      <c r="F238" s="72"/>
      <c r="G238" s="72"/>
      <c r="H238" s="72"/>
      <c r="I238" s="73" t="s">
        <v>749</v>
      </c>
      <c r="J238" s="73"/>
      <c r="K238" s="73"/>
      <c r="L238" s="72"/>
      <c r="M238" s="72"/>
      <c r="N238" s="72"/>
    </row>
    <row r="239" spans="1:14" ht="14.45" customHeight="1" x14ac:dyDescent="0.2">
      <c r="A239" s="52" t="s">
        <v>772</v>
      </c>
      <c r="B239" s="72"/>
      <c r="C239" s="72"/>
      <c r="D239" s="72"/>
      <c r="E239" s="72"/>
      <c r="F239" s="72"/>
      <c r="G239" s="72"/>
      <c r="H239" s="72"/>
      <c r="I239" s="73" t="s">
        <v>749</v>
      </c>
      <c r="J239" s="73"/>
      <c r="K239" s="73"/>
      <c r="L239" s="72"/>
      <c r="M239" s="72"/>
      <c r="N239" s="72"/>
    </row>
    <row r="240" spans="1:14" ht="14.45" customHeight="1" x14ac:dyDescent="0.2">
      <c r="A240" s="52" t="s">
        <v>773</v>
      </c>
      <c r="B240" s="72"/>
      <c r="C240" s="72"/>
      <c r="D240" s="72"/>
      <c r="E240" s="72"/>
      <c r="F240" s="72"/>
      <c r="G240" s="72"/>
      <c r="H240" s="72"/>
      <c r="I240" s="73" t="s">
        <v>749</v>
      </c>
      <c r="J240" s="73"/>
      <c r="K240" s="73"/>
      <c r="L240" s="72"/>
      <c r="M240" s="72"/>
      <c r="N240" s="72"/>
    </row>
    <row r="241" spans="1:14" ht="14.45" customHeight="1" x14ac:dyDescent="0.2">
      <c r="A241" s="52" t="s">
        <v>774</v>
      </c>
      <c r="B241" s="72"/>
      <c r="C241" s="72"/>
      <c r="D241" s="72"/>
      <c r="E241" s="72"/>
      <c r="F241" s="72"/>
      <c r="G241" s="72"/>
      <c r="H241" s="72"/>
      <c r="I241" s="73" t="s">
        <v>749</v>
      </c>
      <c r="J241" s="73"/>
      <c r="K241" s="73"/>
      <c r="L241" s="72"/>
      <c r="M241" s="72"/>
      <c r="N241" s="72"/>
    </row>
    <row r="242" spans="1:14" ht="14.45" customHeight="1" x14ac:dyDescent="0.2">
      <c r="A242" s="52" t="s">
        <v>775</v>
      </c>
      <c r="B242" s="72"/>
      <c r="C242" s="72"/>
      <c r="D242" s="72"/>
      <c r="E242" s="72"/>
      <c r="F242" s="72"/>
      <c r="G242" s="72"/>
      <c r="H242" s="72"/>
      <c r="I242" s="73" t="s">
        <v>749</v>
      </c>
      <c r="J242" s="73"/>
      <c r="K242" s="73"/>
      <c r="L242" s="72"/>
      <c r="M242" s="72"/>
      <c r="N242" s="72"/>
    </row>
    <row r="243" spans="1:14" ht="14.45" customHeight="1" x14ac:dyDescent="0.2">
      <c r="A243" s="52" t="s">
        <v>776</v>
      </c>
      <c r="B243" s="72"/>
      <c r="C243" s="72"/>
      <c r="D243" s="72"/>
      <c r="E243" s="72"/>
      <c r="F243" s="72"/>
      <c r="G243" s="72"/>
      <c r="H243" s="72"/>
      <c r="I243" s="73" t="s">
        <v>749</v>
      </c>
      <c r="J243" s="73"/>
      <c r="K243" s="73"/>
      <c r="L243" s="72"/>
      <c r="M243" s="72"/>
      <c r="N243" s="72"/>
    </row>
    <row r="244" spans="1:14" ht="14.45" customHeight="1" x14ac:dyDescent="0.2">
      <c r="A244" s="52" t="s">
        <v>777</v>
      </c>
      <c r="B244" s="72"/>
      <c r="C244" s="72"/>
      <c r="D244" s="72"/>
      <c r="E244" s="72"/>
      <c r="F244" s="72"/>
      <c r="G244" s="72"/>
      <c r="H244" s="72"/>
      <c r="I244" s="73" t="s">
        <v>749</v>
      </c>
      <c r="J244" s="73"/>
      <c r="K244" s="73"/>
      <c r="L244" s="72"/>
      <c r="M244" s="72"/>
      <c r="N244" s="72"/>
    </row>
    <row r="245" spans="1:14" ht="14.45" customHeight="1" x14ac:dyDescent="0.2">
      <c r="A245" s="52" t="s">
        <v>778</v>
      </c>
      <c r="B245" s="72"/>
      <c r="C245" s="72"/>
      <c r="D245" s="72"/>
      <c r="E245" s="72"/>
      <c r="F245" s="72"/>
      <c r="G245" s="72"/>
      <c r="H245" s="72"/>
      <c r="I245" s="73" t="s">
        <v>749</v>
      </c>
      <c r="J245" s="73"/>
      <c r="K245" s="73"/>
      <c r="L245" s="72"/>
      <c r="M245" s="72"/>
      <c r="N245" s="72"/>
    </row>
    <row r="246" spans="1:14" ht="14.45" customHeight="1" x14ac:dyDescent="0.2">
      <c r="A246" s="52" t="s">
        <v>779</v>
      </c>
      <c r="B246" s="72"/>
      <c r="C246" s="72"/>
      <c r="D246" s="72"/>
      <c r="E246" s="72"/>
      <c r="F246" s="72"/>
      <c r="G246" s="72"/>
      <c r="H246" s="72"/>
      <c r="I246" s="73" t="s">
        <v>749</v>
      </c>
      <c r="J246" s="73"/>
      <c r="K246" s="73"/>
      <c r="L246" s="72"/>
      <c r="M246" s="72"/>
      <c r="N246" s="72"/>
    </row>
    <row r="247" spans="1:14" ht="14.45" customHeight="1" x14ac:dyDescent="0.2">
      <c r="A247" s="52" t="s">
        <v>780</v>
      </c>
      <c r="B247" s="72"/>
      <c r="C247" s="72"/>
      <c r="D247" s="72"/>
      <c r="E247" s="72"/>
      <c r="F247" s="72"/>
      <c r="G247" s="72"/>
      <c r="H247" s="72"/>
      <c r="I247" s="73" t="s">
        <v>749</v>
      </c>
      <c r="J247" s="73"/>
      <c r="K247" s="73"/>
      <c r="L247" s="72"/>
      <c r="M247" s="72"/>
      <c r="N247" s="72"/>
    </row>
    <row r="248" spans="1:14" ht="14.45" customHeight="1" x14ac:dyDescent="0.2">
      <c r="A248" s="52" t="s">
        <v>781</v>
      </c>
      <c r="B248" s="72"/>
      <c r="C248" s="72"/>
      <c r="D248" s="72"/>
      <c r="E248" s="72"/>
      <c r="F248" s="72"/>
      <c r="G248" s="72"/>
      <c r="H248" s="72"/>
      <c r="I248" s="73" t="s">
        <v>749</v>
      </c>
      <c r="J248" s="73"/>
      <c r="K248" s="73"/>
      <c r="L248" s="72"/>
      <c r="M248" s="72"/>
      <c r="N248" s="72"/>
    </row>
    <row r="249" spans="1:14" ht="14.45" customHeight="1" x14ac:dyDescent="0.2">
      <c r="A249" s="63" t="s">
        <v>796</v>
      </c>
      <c r="B249" s="74" t="s">
        <v>801</v>
      </c>
      <c r="C249" s="75"/>
      <c r="D249" s="75"/>
      <c r="E249" s="75"/>
      <c r="F249" s="75"/>
      <c r="G249" s="75"/>
      <c r="H249" s="75"/>
      <c r="I249" s="75"/>
      <c r="J249" s="75"/>
      <c r="K249" s="75"/>
      <c r="L249" s="76" t="s">
        <v>5</v>
      </c>
      <c r="M249" s="76"/>
      <c r="N249" s="76"/>
    </row>
    <row r="250" spans="1:14" ht="14.45" customHeight="1" x14ac:dyDescent="0.2">
      <c r="A250" s="53" t="s">
        <v>782</v>
      </c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</row>
    <row r="251" spans="1:14" ht="14.45" customHeight="1" x14ac:dyDescent="0.2">
      <c r="A251" s="53" t="s">
        <v>783</v>
      </c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2"/>
      <c r="M251" s="72"/>
      <c r="N251" s="72"/>
    </row>
    <row r="252" spans="1:14" ht="14.45" customHeight="1" x14ac:dyDescent="0.2">
      <c r="A252" s="53" t="s">
        <v>784</v>
      </c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2"/>
      <c r="M252" s="72"/>
      <c r="N252" s="72"/>
    </row>
    <row r="253" spans="1:14" ht="14.45" customHeight="1" thickBot="1" x14ac:dyDescent="0.25">
      <c r="A253" s="53" t="s">
        <v>785</v>
      </c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2"/>
      <c r="M253" s="72"/>
      <c r="N253" s="72"/>
    </row>
    <row r="254" spans="1:14" ht="14.45" customHeight="1" thickBot="1" x14ac:dyDescent="0.25">
      <c r="A254" s="68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70"/>
    </row>
    <row r="255" spans="1:14" ht="14.45" customHeight="1" x14ac:dyDescent="0.2">
      <c r="A255" s="53" t="s">
        <v>786</v>
      </c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</row>
    <row r="256" spans="1:14" ht="14.45" customHeight="1" x14ac:dyDescent="0.2">
      <c r="A256" s="53" t="s">
        <v>787</v>
      </c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</row>
    <row r="257" spans="1:14" ht="14.45" customHeight="1" x14ac:dyDescent="0.2">
      <c r="A257" s="53" t="s">
        <v>788</v>
      </c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</row>
    <row r="258" spans="1:14" ht="14.45" customHeight="1" x14ac:dyDescent="0.2">
      <c r="A258" s="53" t="s">
        <v>789</v>
      </c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</row>
    <row r="259" spans="1:14" ht="14.45" customHeight="1" x14ac:dyDescent="0.2">
      <c r="A259" s="53" t="s">
        <v>790</v>
      </c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</row>
    <row r="260" spans="1:14" ht="14.45" customHeight="1" x14ac:dyDescent="0.2">
      <c r="A260" s="53" t="s">
        <v>791</v>
      </c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</row>
    <row r="261" spans="1:14" ht="14.45" customHeight="1" x14ac:dyDescent="0.2">
      <c r="A261" s="53" t="s">
        <v>792</v>
      </c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</row>
    <row r="262" spans="1:14" ht="14.45" customHeight="1" thickBot="1" x14ac:dyDescent="0.25">
      <c r="A262" s="53" t="s">
        <v>793</v>
      </c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</row>
    <row r="263" spans="1:14" ht="14.45" customHeight="1" thickBot="1" x14ac:dyDescent="0.25">
      <c r="A263" s="68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70"/>
    </row>
    <row r="264" spans="1:14" ht="14.45" customHeight="1" x14ac:dyDescent="0.2">
      <c r="A264" s="53" t="s">
        <v>794</v>
      </c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</row>
    <row r="265" spans="1:14" ht="14.45" customHeight="1" x14ac:dyDescent="0.2">
      <c r="A265" s="53" t="s">
        <v>795</v>
      </c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</row>
    <row r="266" spans="1:14" ht="14.45" customHeight="1" x14ac:dyDescent="0.2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</row>
  </sheetData>
  <sheetProtection sheet="1" objects="1" scenarios="1"/>
  <protectedRanges>
    <protectedRange sqref="D1 L1:L3" name="HEADER"/>
  </protectedRanges>
  <dataConsolidate/>
  <mergeCells count="677">
    <mergeCell ref="B265:K265"/>
    <mergeCell ref="L264:N264"/>
    <mergeCell ref="L265:N265"/>
    <mergeCell ref="L60:N60"/>
    <mergeCell ref="L61:N61"/>
    <mergeCell ref="B162:K162"/>
    <mergeCell ref="B163:K163"/>
    <mergeCell ref="L162:N162"/>
    <mergeCell ref="L163:N163"/>
    <mergeCell ref="B213:K213"/>
    <mergeCell ref="B214:K214"/>
    <mergeCell ref="L213:N213"/>
    <mergeCell ref="L214:N214"/>
    <mergeCell ref="B209:K209"/>
    <mergeCell ref="L209:N209"/>
    <mergeCell ref="B210:K210"/>
    <mergeCell ref="L210:N210"/>
    <mergeCell ref="B211:K211"/>
    <mergeCell ref="L211:N211"/>
    <mergeCell ref="B255:K255"/>
    <mergeCell ref="L255:N255"/>
    <mergeCell ref="B256:K256"/>
    <mergeCell ref="L256:N256"/>
    <mergeCell ref="L240:N240"/>
    <mergeCell ref="L241:N241"/>
    <mergeCell ref="L242:N242"/>
    <mergeCell ref="L243:N243"/>
    <mergeCell ref="L244:N244"/>
    <mergeCell ref="L245:N245"/>
    <mergeCell ref="L246:N246"/>
    <mergeCell ref="L247:N247"/>
    <mergeCell ref="L248:N248"/>
    <mergeCell ref="L231:N231"/>
    <mergeCell ref="L232:N232"/>
    <mergeCell ref="L233:N233"/>
    <mergeCell ref="L234:N234"/>
    <mergeCell ref="L235:N235"/>
    <mergeCell ref="L236:N236"/>
    <mergeCell ref="L237:N237"/>
    <mergeCell ref="L238:N238"/>
    <mergeCell ref="L239:N239"/>
    <mergeCell ref="L222:N222"/>
    <mergeCell ref="L223:N223"/>
    <mergeCell ref="L224:N224"/>
    <mergeCell ref="L225:N225"/>
    <mergeCell ref="L226:N226"/>
    <mergeCell ref="L227:N227"/>
    <mergeCell ref="L228:N228"/>
    <mergeCell ref="L229:N229"/>
    <mergeCell ref="L230:N230"/>
    <mergeCell ref="L188:N188"/>
    <mergeCell ref="L189:N189"/>
    <mergeCell ref="L190:N190"/>
    <mergeCell ref="L191:N191"/>
    <mergeCell ref="L192:N192"/>
    <mergeCell ref="L193:N193"/>
    <mergeCell ref="L194:N194"/>
    <mergeCell ref="L195:N195"/>
    <mergeCell ref="L196:N196"/>
    <mergeCell ref="L179:N179"/>
    <mergeCell ref="L180:N180"/>
    <mergeCell ref="L181:N181"/>
    <mergeCell ref="L182:N182"/>
    <mergeCell ref="L183:N183"/>
    <mergeCell ref="L184:N184"/>
    <mergeCell ref="L185:N185"/>
    <mergeCell ref="L186:N186"/>
    <mergeCell ref="L187:N187"/>
    <mergeCell ref="L170:N170"/>
    <mergeCell ref="L171:N171"/>
    <mergeCell ref="L172:N172"/>
    <mergeCell ref="L173:N173"/>
    <mergeCell ref="L174:N174"/>
    <mergeCell ref="L175:N175"/>
    <mergeCell ref="L176:N176"/>
    <mergeCell ref="L177:N177"/>
    <mergeCell ref="L178:N178"/>
    <mergeCell ref="L139:N139"/>
    <mergeCell ref="L140:N140"/>
    <mergeCell ref="L141:N141"/>
    <mergeCell ref="L142:N142"/>
    <mergeCell ref="L143:N143"/>
    <mergeCell ref="L144:N144"/>
    <mergeCell ref="L145:N145"/>
    <mergeCell ref="L146:N146"/>
    <mergeCell ref="L165:N165"/>
    <mergeCell ref="L147:N147"/>
    <mergeCell ref="L148:N148"/>
    <mergeCell ref="L149:N149"/>
    <mergeCell ref="L150:N150"/>
    <mergeCell ref="L151:N151"/>
    <mergeCell ref="L153:N153"/>
    <mergeCell ref="L154:N154"/>
    <mergeCell ref="L155:N155"/>
    <mergeCell ref="L156:N156"/>
    <mergeCell ref="L157:N157"/>
    <mergeCell ref="L158:N158"/>
    <mergeCell ref="L159:N159"/>
    <mergeCell ref="L160:N160"/>
    <mergeCell ref="L130:N130"/>
    <mergeCell ref="L131:N131"/>
    <mergeCell ref="L132:N132"/>
    <mergeCell ref="L133:N133"/>
    <mergeCell ref="L134:N134"/>
    <mergeCell ref="L135:N135"/>
    <mergeCell ref="L136:N136"/>
    <mergeCell ref="L137:N137"/>
    <mergeCell ref="L138:N138"/>
    <mergeCell ref="L121:N121"/>
    <mergeCell ref="L122:N122"/>
    <mergeCell ref="L123:N123"/>
    <mergeCell ref="L124:N124"/>
    <mergeCell ref="L125:N125"/>
    <mergeCell ref="L126:N126"/>
    <mergeCell ref="L127:N127"/>
    <mergeCell ref="L128:N128"/>
    <mergeCell ref="L129:N129"/>
    <mergeCell ref="L118:N118"/>
    <mergeCell ref="L119:N119"/>
    <mergeCell ref="L120:N120"/>
    <mergeCell ref="L96:N96"/>
    <mergeCell ref="L97:N97"/>
    <mergeCell ref="L98:N98"/>
    <mergeCell ref="L99:N99"/>
    <mergeCell ref="L100:N100"/>
    <mergeCell ref="L102:N102"/>
    <mergeCell ref="L103:N103"/>
    <mergeCell ref="L104:N104"/>
    <mergeCell ref="L105:N105"/>
    <mergeCell ref="L106:N106"/>
    <mergeCell ref="L107:N107"/>
    <mergeCell ref="L108:N108"/>
    <mergeCell ref="L109:N109"/>
    <mergeCell ref="L111:N111"/>
    <mergeCell ref="L112:N112"/>
    <mergeCell ref="L90:N90"/>
    <mergeCell ref="L91:N91"/>
    <mergeCell ref="L92:N92"/>
    <mergeCell ref="L93:N93"/>
    <mergeCell ref="L94:N94"/>
    <mergeCell ref="L95:N95"/>
    <mergeCell ref="L114:N114"/>
    <mergeCell ref="L115:N115"/>
    <mergeCell ref="L116:N116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72:N72"/>
    <mergeCell ref="L73:N73"/>
    <mergeCell ref="L74:N74"/>
    <mergeCell ref="L75:N75"/>
    <mergeCell ref="L76:N76"/>
    <mergeCell ref="L77:N77"/>
    <mergeCell ref="L78:N78"/>
    <mergeCell ref="L79:N79"/>
    <mergeCell ref="L80:N80"/>
    <mergeCell ref="L36:N36"/>
    <mergeCell ref="L37:N37"/>
    <mergeCell ref="L38:N38"/>
    <mergeCell ref="L39:N39"/>
    <mergeCell ref="L67:N67"/>
    <mergeCell ref="L68:N68"/>
    <mergeCell ref="L69:N69"/>
    <mergeCell ref="L70:N70"/>
    <mergeCell ref="L71:N71"/>
    <mergeCell ref="L66:N66"/>
    <mergeCell ref="L40:N40"/>
    <mergeCell ref="L41:N41"/>
    <mergeCell ref="L42:N42"/>
    <mergeCell ref="L43:N43"/>
    <mergeCell ref="L44:N44"/>
    <mergeCell ref="L45:N45"/>
    <mergeCell ref="L46:N46"/>
    <mergeCell ref="L47:N47"/>
    <mergeCell ref="L48:N48"/>
    <mergeCell ref="L31:N31"/>
    <mergeCell ref="L32:N32"/>
    <mergeCell ref="L33:N33"/>
    <mergeCell ref="L34:N34"/>
    <mergeCell ref="L35:N35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A4:N4"/>
    <mergeCell ref="A5:N5"/>
    <mergeCell ref="L12:N12"/>
    <mergeCell ref="B6:K6"/>
    <mergeCell ref="L6:N6"/>
    <mergeCell ref="B7:K7"/>
    <mergeCell ref="L7:N7"/>
    <mergeCell ref="B8:K8"/>
    <mergeCell ref="L8:N8"/>
    <mergeCell ref="B9:K9"/>
    <mergeCell ref="L9:N9"/>
    <mergeCell ref="B10:K10"/>
    <mergeCell ref="L10:N10"/>
    <mergeCell ref="L1:N1"/>
    <mergeCell ref="L2:N2"/>
    <mergeCell ref="L3:N3"/>
    <mergeCell ref="A1:C3"/>
    <mergeCell ref="D1:D3"/>
    <mergeCell ref="A50:N50"/>
    <mergeCell ref="A59:N59"/>
    <mergeCell ref="A203:N203"/>
    <mergeCell ref="A212:N212"/>
    <mergeCell ref="A101:N101"/>
    <mergeCell ref="A110:N110"/>
    <mergeCell ref="A152:N152"/>
    <mergeCell ref="A161:N161"/>
    <mergeCell ref="A11:N11"/>
    <mergeCell ref="I19:K19"/>
    <mergeCell ref="I20:K20"/>
    <mergeCell ref="I21:K21"/>
    <mergeCell ref="B12:H12"/>
    <mergeCell ref="I12:K12"/>
    <mergeCell ref="I13:K13"/>
    <mergeCell ref="I14:K14"/>
    <mergeCell ref="I15:K15"/>
    <mergeCell ref="I42:K42"/>
    <mergeCell ref="I43:K43"/>
    <mergeCell ref="I44:K44"/>
    <mergeCell ref="I34:K34"/>
    <mergeCell ref="I35:K35"/>
    <mergeCell ref="I36:K36"/>
    <mergeCell ref="I37:K37"/>
    <mergeCell ref="I38:K38"/>
    <mergeCell ref="I39:K39"/>
    <mergeCell ref="B13:H13"/>
    <mergeCell ref="B14:H14"/>
    <mergeCell ref="B15:H15"/>
    <mergeCell ref="B16:H16"/>
    <mergeCell ref="B17:H17"/>
    <mergeCell ref="B18:H18"/>
    <mergeCell ref="B19:H19"/>
    <mergeCell ref="I40:K40"/>
    <mergeCell ref="I41:K41"/>
    <mergeCell ref="I28:K28"/>
    <mergeCell ref="I29:K29"/>
    <mergeCell ref="I30:K30"/>
    <mergeCell ref="I31:K31"/>
    <mergeCell ref="I32:K32"/>
    <mergeCell ref="I33:K33"/>
    <mergeCell ref="I22:K22"/>
    <mergeCell ref="I23:K23"/>
    <mergeCell ref="I24:K24"/>
    <mergeCell ref="I25:K25"/>
    <mergeCell ref="I26:K26"/>
    <mergeCell ref="I27:K27"/>
    <mergeCell ref="I16:K16"/>
    <mergeCell ref="I17:K17"/>
    <mergeCell ref="I18:K18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44:H44"/>
    <mergeCell ref="B38:H38"/>
    <mergeCell ref="B39:H39"/>
    <mergeCell ref="B40:H40"/>
    <mergeCell ref="B41:H41"/>
    <mergeCell ref="B42:H42"/>
    <mergeCell ref="B43:H43"/>
    <mergeCell ref="B32:H32"/>
    <mergeCell ref="B33:H33"/>
    <mergeCell ref="B34:H34"/>
    <mergeCell ref="B35:H35"/>
    <mergeCell ref="B36:H36"/>
    <mergeCell ref="B37:H37"/>
    <mergeCell ref="B46:K46"/>
    <mergeCell ref="B47:K47"/>
    <mergeCell ref="B48:K48"/>
    <mergeCell ref="B49:K49"/>
    <mergeCell ref="B45:K45"/>
    <mergeCell ref="B51:K51"/>
    <mergeCell ref="B52:K52"/>
    <mergeCell ref="L51:N51"/>
    <mergeCell ref="L52:N52"/>
    <mergeCell ref="L49:N49"/>
    <mergeCell ref="B53:K53"/>
    <mergeCell ref="L53:N53"/>
    <mergeCell ref="B54:K54"/>
    <mergeCell ref="L54:N54"/>
    <mergeCell ref="A62:N62"/>
    <mergeCell ref="B63:H63"/>
    <mergeCell ref="I63:K63"/>
    <mergeCell ref="B64:H64"/>
    <mergeCell ref="I64:K64"/>
    <mergeCell ref="L63:N63"/>
    <mergeCell ref="L64:N64"/>
    <mergeCell ref="B65:H65"/>
    <mergeCell ref="I65:K65"/>
    <mergeCell ref="B55:K55"/>
    <mergeCell ref="L55:N55"/>
    <mergeCell ref="B56:K56"/>
    <mergeCell ref="L56:N56"/>
    <mergeCell ref="B57:K57"/>
    <mergeCell ref="L57:N57"/>
    <mergeCell ref="B58:K58"/>
    <mergeCell ref="L58:N58"/>
    <mergeCell ref="B60:K60"/>
    <mergeCell ref="B61:K61"/>
    <mergeCell ref="L65:N65"/>
    <mergeCell ref="B69:H69"/>
    <mergeCell ref="I69:K69"/>
    <mergeCell ref="B70:H70"/>
    <mergeCell ref="I70:K70"/>
    <mergeCell ref="B71:H71"/>
    <mergeCell ref="I71:K71"/>
    <mergeCell ref="B66:H66"/>
    <mergeCell ref="I66:K66"/>
    <mergeCell ref="B67:H67"/>
    <mergeCell ref="I67:K67"/>
    <mergeCell ref="B68:H68"/>
    <mergeCell ref="I68:K68"/>
    <mergeCell ref="B75:H75"/>
    <mergeCell ref="I75:K75"/>
    <mergeCell ref="B76:H76"/>
    <mergeCell ref="I76:K76"/>
    <mergeCell ref="B77:H77"/>
    <mergeCell ref="I77:K77"/>
    <mergeCell ref="B72:H72"/>
    <mergeCell ref="I72:K72"/>
    <mergeCell ref="B73:H73"/>
    <mergeCell ref="I73:K73"/>
    <mergeCell ref="B74:H74"/>
    <mergeCell ref="I74:K74"/>
    <mergeCell ref="B81:H81"/>
    <mergeCell ref="I81:K81"/>
    <mergeCell ref="B82:H82"/>
    <mergeCell ref="I82:K82"/>
    <mergeCell ref="B83:H83"/>
    <mergeCell ref="I83:K83"/>
    <mergeCell ref="B78:H78"/>
    <mergeCell ref="I78:K78"/>
    <mergeCell ref="B79:H79"/>
    <mergeCell ref="I79:K79"/>
    <mergeCell ref="B80:H80"/>
    <mergeCell ref="I80:K80"/>
    <mergeCell ref="B87:H87"/>
    <mergeCell ref="I87:K87"/>
    <mergeCell ref="B88:H88"/>
    <mergeCell ref="I88:K88"/>
    <mergeCell ref="B89:H89"/>
    <mergeCell ref="I89:K89"/>
    <mergeCell ref="B84:H84"/>
    <mergeCell ref="I84:K84"/>
    <mergeCell ref="B85:H85"/>
    <mergeCell ref="I85:K85"/>
    <mergeCell ref="B86:H86"/>
    <mergeCell ref="I86:K86"/>
    <mergeCell ref="B93:H93"/>
    <mergeCell ref="I93:K93"/>
    <mergeCell ref="B94:H94"/>
    <mergeCell ref="I94:K94"/>
    <mergeCell ref="B95:H95"/>
    <mergeCell ref="I95:K95"/>
    <mergeCell ref="B90:H90"/>
    <mergeCell ref="I90:K90"/>
    <mergeCell ref="B91:H91"/>
    <mergeCell ref="I91:K91"/>
    <mergeCell ref="B92:H92"/>
    <mergeCell ref="I92:K92"/>
    <mergeCell ref="B96:K96"/>
    <mergeCell ref="B97:K97"/>
    <mergeCell ref="B98:K98"/>
    <mergeCell ref="B99:K99"/>
    <mergeCell ref="B100:K100"/>
    <mergeCell ref="B102:K102"/>
    <mergeCell ref="B103:K103"/>
    <mergeCell ref="B104:K104"/>
    <mergeCell ref="B105:K105"/>
    <mergeCell ref="B106:K106"/>
    <mergeCell ref="B107:K107"/>
    <mergeCell ref="B108:K108"/>
    <mergeCell ref="B115:H115"/>
    <mergeCell ref="I115:K115"/>
    <mergeCell ref="B116:H116"/>
    <mergeCell ref="I116:K116"/>
    <mergeCell ref="B117:H117"/>
    <mergeCell ref="I117:K117"/>
    <mergeCell ref="A113:N113"/>
    <mergeCell ref="B114:H114"/>
    <mergeCell ref="I114:K114"/>
    <mergeCell ref="B109:K109"/>
    <mergeCell ref="B111:K111"/>
    <mergeCell ref="B112:K112"/>
    <mergeCell ref="L117:N117"/>
    <mergeCell ref="B121:H121"/>
    <mergeCell ref="I121:K121"/>
    <mergeCell ref="B122:H122"/>
    <mergeCell ref="I122:K122"/>
    <mergeCell ref="B123:H123"/>
    <mergeCell ref="I123:K123"/>
    <mergeCell ref="B118:H118"/>
    <mergeCell ref="I118:K118"/>
    <mergeCell ref="B119:H119"/>
    <mergeCell ref="I119:K119"/>
    <mergeCell ref="B120:H120"/>
    <mergeCell ref="I120:K120"/>
    <mergeCell ref="B127:H127"/>
    <mergeCell ref="I127:K127"/>
    <mergeCell ref="B128:H128"/>
    <mergeCell ref="I128:K128"/>
    <mergeCell ref="B129:H129"/>
    <mergeCell ref="I129:K129"/>
    <mergeCell ref="B124:H124"/>
    <mergeCell ref="I124:K124"/>
    <mergeCell ref="B125:H125"/>
    <mergeCell ref="I125:K125"/>
    <mergeCell ref="B126:H126"/>
    <mergeCell ref="I126:K126"/>
    <mergeCell ref="B133:H133"/>
    <mergeCell ref="I133:K133"/>
    <mergeCell ref="B134:H134"/>
    <mergeCell ref="I134:K134"/>
    <mergeCell ref="B135:H135"/>
    <mergeCell ref="I135:K135"/>
    <mergeCell ref="B130:H130"/>
    <mergeCell ref="I130:K130"/>
    <mergeCell ref="B131:H131"/>
    <mergeCell ref="I131:K131"/>
    <mergeCell ref="B132:H132"/>
    <mergeCell ref="I132:K132"/>
    <mergeCell ref="B139:H139"/>
    <mergeCell ref="I139:K139"/>
    <mergeCell ref="B140:H140"/>
    <mergeCell ref="I140:K140"/>
    <mergeCell ref="B141:H141"/>
    <mergeCell ref="I141:K141"/>
    <mergeCell ref="B136:H136"/>
    <mergeCell ref="I136:K136"/>
    <mergeCell ref="B137:H137"/>
    <mergeCell ref="I137:K137"/>
    <mergeCell ref="B138:H138"/>
    <mergeCell ref="I138:K138"/>
    <mergeCell ref="B145:H145"/>
    <mergeCell ref="I145:K145"/>
    <mergeCell ref="B146:H146"/>
    <mergeCell ref="I146:K146"/>
    <mergeCell ref="B142:H142"/>
    <mergeCell ref="I142:K142"/>
    <mergeCell ref="B143:H143"/>
    <mergeCell ref="I143:K143"/>
    <mergeCell ref="B144:H144"/>
    <mergeCell ref="I144:K144"/>
    <mergeCell ref="B147:K147"/>
    <mergeCell ref="B148:K148"/>
    <mergeCell ref="B149:K149"/>
    <mergeCell ref="B150:K150"/>
    <mergeCell ref="B151:K151"/>
    <mergeCell ref="B153:K153"/>
    <mergeCell ref="B154:K154"/>
    <mergeCell ref="B155:K155"/>
    <mergeCell ref="B156:K156"/>
    <mergeCell ref="B157:K157"/>
    <mergeCell ref="B158:K158"/>
    <mergeCell ref="B159:K159"/>
    <mergeCell ref="B160:K160"/>
    <mergeCell ref="B167:H167"/>
    <mergeCell ref="I167:K167"/>
    <mergeCell ref="B168:H168"/>
    <mergeCell ref="I168:K168"/>
    <mergeCell ref="B169:H169"/>
    <mergeCell ref="I169:K169"/>
    <mergeCell ref="A164:N164"/>
    <mergeCell ref="B165:H165"/>
    <mergeCell ref="I165:K165"/>
    <mergeCell ref="B166:H166"/>
    <mergeCell ref="I166:K166"/>
    <mergeCell ref="L166:N166"/>
    <mergeCell ref="L167:N167"/>
    <mergeCell ref="L168:N168"/>
    <mergeCell ref="L169:N169"/>
    <mergeCell ref="B173:H173"/>
    <mergeCell ref="I173:K173"/>
    <mergeCell ref="B174:H174"/>
    <mergeCell ref="I174:K174"/>
    <mergeCell ref="B175:H175"/>
    <mergeCell ref="I175:K175"/>
    <mergeCell ref="B170:H170"/>
    <mergeCell ref="I170:K170"/>
    <mergeCell ref="B171:H171"/>
    <mergeCell ref="I171:K171"/>
    <mergeCell ref="B172:H172"/>
    <mergeCell ref="I172:K172"/>
    <mergeCell ref="B179:H179"/>
    <mergeCell ref="I179:K179"/>
    <mergeCell ref="B180:H180"/>
    <mergeCell ref="I180:K180"/>
    <mergeCell ref="B181:H181"/>
    <mergeCell ref="I181:K181"/>
    <mergeCell ref="B176:H176"/>
    <mergeCell ref="I176:K176"/>
    <mergeCell ref="B177:H177"/>
    <mergeCell ref="I177:K177"/>
    <mergeCell ref="B178:H178"/>
    <mergeCell ref="I178:K178"/>
    <mergeCell ref="B185:H185"/>
    <mergeCell ref="I185:K185"/>
    <mergeCell ref="B186:H186"/>
    <mergeCell ref="I186:K186"/>
    <mergeCell ref="B187:H187"/>
    <mergeCell ref="I187:K187"/>
    <mergeCell ref="B182:H182"/>
    <mergeCell ref="I182:K182"/>
    <mergeCell ref="B183:H183"/>
    <mergeCell ref="I183:K183"/>
    <mergeCell ref="B184:H184"/>
    <mergeCell ref="I184:K184"/>
    <mergeCell ref="B191:H191"/>
    <mergeCell ref="I191:K191"/>
    <mergeCell ref="B192:H192"/>
    <mergeCell ref="I192:K192"/>
    <mergeCell ref="B193:H193"/>
    <mergeCell ref="I193:K193"/>
    <mergeCell ref="B188:H188"/>
    <mergeCell ref="I188:K188"/>
    <mergeCell ref="B189:H189"/>
    <mergeCell ref="I189:K189"/>
    <mergeCell ref="B190:H190"/>
    <mergeCell ref="I190:K190"/>
    <mergeCell ref="B197:H197"/>
    <mergeCell ref="I197:K197"/>
    <mergeCell ref="B194:H194"/>
    <mergeCell ref="I194:K194"/>
    <mergeCell ref="B195:H195"/>
    <mergeCell ref="I195:K195"/>
    <mergeCell ref="B196:H196"/>
    <mergeCell ref="I196:K196"/>
    <mergeCell ref="L197:N197"/>
    <mergeCell ref="B198:K198"/>
    <mergeCell ref="L198:N198"/>
    <mergeCell ref="B199:K199"/>
    <mergeCell ref="L199:N199"/>
    <mergeCell ref="B200:K200"/>
    <mergeCell ref="L200:N200"/>
    <mergeCell ref="B201:K201"/>
    <mergeCell ref="L201:N201"/>
    <mergeCell ref="B202:K202"/>
    <mergeCell ref="L202:N202"/>
    <mergeCell ref="B204:K204"/>
    <mergeCell ref="L204:N204"/>
    <mergeCell ref="B205:K205"/>
    <mergeCell ref="L205:N205"/>
    <mergeCell ref="B206:K206"/>
    <mergeCell ref="L206:N206"/>
    <mergeCell ref="B207:K207"/>
    <mergeCell ref="L207:N207"/>
    <mergeCell ref="B208:K208"/>
    <mergeCell ref="L208:N208"/>
    <mergeCell ref="B219:H219"/>
    <mergeCell ref="I219:K219"/>
    <mergeCell ref="B220:H220"/>
    <mergeCell ref="I220:K220"/>
    <mergeCell ref="B221:H221"/>
    <mergeCell ref="I221:K221"/>
    <mergeCell ref="A215:N215"/>
    <mergeCell ref="B216:H216"/>
    <mergeCell ref="I216:K216"/>
    <mergeCell ref="B217:H217"/>
    <mergeCell ref="I217:K217"/>
    <mergeCell ref="B218:H218"/>
    <mergeCell ref="I218:K218"/>
    <mergeCell ref="L216:N216"/>
    <mergeCell ref="L217:N217"/>
    <mergeCell ref="L218:N218"/>
    <mergeCell ref="L219:N219"/>
    <mergeCell ref="L220:N220"/>
    <mergeCell ref="L221:N221"/>
    <mergeCell ref="B225:H225"/>
    <mergeCell ref="I225:K225"/>
    <mergeCell ref="B226:H226"/>
    <mergeCell ref="I226:K226"/>
    <mergeCell ref="B227:H227"/>
    <mergeCell ref="I227:K227"/>
    <mergeCell ref="B222:H222"/>
    <mergeCell ref="I222:K222"/>
    <mergeCell ref="B223:H223"/>
    <mergeCell ref="I223:K223"/>
    <mergeCell ref="B224:H224"/>
    <mergeCell ref="I224:K224"/>
    <mergeCell ref="B231:H231"/>
    <mergeCell ref="I231:K231"/>
    <mergeCell ref="B232:H232"/>
    <mergeCell ref="I232:K232"/>
    <mergeCell ref="B233:H233"/>
    <mergeCell ref="I233:K233"/>
    <mergeCell ref="B228:H228"/>
    <mergeCell ref="I228:K228"/>
    <mergeCell ref="B229:H229"/>
    <mergeCell ref="I229:K229"/>
    <mergeCell ref="B230:H230"/>
    <mergeCell ref="I230:K230"/>
    <mergeCell ref="B237:H237"/>
    <mergeCell ref="I237:K237"/>
    <mergeCell ref="B238:H238"/>
    <mergeCell ref="I238:K238"/>
    <mergeCell ref="B239:H239"/>
    <mergeCell ref="I239:K239"/>
    <mergeCell ref="B234:H234"/>
    <mergeCell ref="I234:K234"/>
    <mergeCell ref="B235:H235"/>
    <mergeCell ref="I235:K235"/>
    <mergeCell ref="B236:H236"/>
    <mergeCell ref="I236:K236"/>
    <mergeCell ref="B243:H243"/>
    <mergeCell ref="I243:K243"/>
    <mergeCell ref="B244:H244"/>
    <mergeCell ref="I244:K244"/>
    <mergeCell ref="B245:H245"/>
    <mergeCell ref="I245:K245"/>
    <mergeCell ref="B240:H240"/>
    <mergeCell ref="I240:K240"/>
    <mergeCell ref="B241:H241"/>
    <mergeCell ref="I241:K241"/>
    <mergeCell ref="B242:H242"/>
    <mergeCell ref="I242:K242"/>
    <mergeCell ref="B246:H246"/>
    <mergeCell ref="I246:K246"/>
    <mergeCell ref="B247:H247"/>
    <mergeCell ref="I247:K247"/>
    <mergeCell ref="B248:H248"/>
    <mergeCell ref="I248:K248"/>
    <mergeCell ref="A254:N254"/>
    <mergeCell ref="B249:K249"/>
    <mergeCell ref="L249:N249"/>
    <mergeCell ref="B250:K250"/>
    <mergeCell ref="L250:N250"/>
    <mergeCell ref="B251:K251"/>
    <mergeCell ref="L251:N251"/>
    <mergeCell ref="B252:K252"/>
    <mergeCell ref="L252:N252"/>
    <mergeCell ref="B253:K253"/>
    <mergeCell ref="L253:N253"/>
    <mergeCell ref="B264:K264"/>
    <mergeCell ref="A263:N263"/>
    <mergeCell ref="B257:K257"/>
    <mergeCell ref="L257:N257"/>
    <mergeCell ref="B258:K258"/>
    <mergeCell ref="L258:N258"/>
    <mergeCell ref="B259:K259"/>
    <mergeCell ref="L259:N259"/>
    <mergeCell ref="B260:K260"/>
    <mergeCell ref="L260:N260"/>
    <mergeCell ref="B261:K261"/>
    <mergeCell ref="L261:N261"/>
    <mergeCell ref="B262:K262"/>
    <mergeCell ref="L262:N262"/>
  </mergeCells>
  <phoneticPr fontId="6" type="noConversion"/>
  <conditionalFormatting sqref="A62:N112">
    <cfRule type="expression" dxfId="20" priority="6">
      <formula>$D$1&lt;2</formula>
    </cfRule>
  </conditionalFormatting>
  <conditionalFormatting sqref="A113:N163">
    <cfRule type="expression" dxfId="19" priority="7">
      <formula>$D$1&lt;3</formula>
    </cfRule>
  </conditionalFormatting>
  <conditionalFormatting sqref="A164:N214">
    <cfRule type="expression" dxfId="18" priority="11">
      <formula>$D$1&lt;4</formula>
    </cfRule>
  </conditionalFormatting>
  <conditionalFormatting sqref="A215:N265">
    <cfRule type="expression" dxfId="17" priority="12">
      <formula>$D$1&lt;5</formula>
    </cfRule>
  </conditionalFormatting>
  <conditionalFormatting sqref="B13:H44">
    <cfRule type="expression" dxfId="16" priority="1" stopIfTrue="1">
      <formula>AND(I13="NOT USED",B13&lt;&gt;"")</formula>
    </cfRule>
  </conditionalFormatting>
  <conditionalFormatting sqref="B64:H95">
    <cfRule type="expression" dxfId="15" priority="2" stopIfTrue="1">
      <formula>AND(I64="NOT USED",B64&lt;&gt;"",$D$1&gt;=2)</formula>
    </cfRule>
  </conditionalFormatting>
  <conditionalFormatting sqref="B115:H146">
    <cfRule type="expression" dxfId="14" priority="3" stopIfTrue="1">
      <formula>AND(I115="NOT USED",B115&lt;&gt;"",$D$1&gt;=3)</formula>
    </cfRule>
  </conditionalFormatting>
  <conditionalFormatting sqref="B166:H197">
    <cfRule type="expression" dxfId="13" priority="4" stopIfTrue="1">
      <formula>AND(I166="NOT USED",B166&lt;&gt;"",$D$1&gt;=4)</formula>
    </cfRule>
  </conditionalFormatting>
  <conditionalFormatting sqref="B217:H248">
    <cfRule type="expression" dxfId="12" priority="5" stopIfTrue="1">
      <formula>AND(I217="NOT USED",B217&lt;&gt;"",$D$1&gt;=5)</formula>
    </cfRule>
  </conditionalFormatting>
  <dataValidations count="3">
    <dataValidation type="list" allowBlank="1" showInputMessage="1" showErrorMessage="1" sqref="I13:K44 I64:K95 I166:K197 I115:K146 I217:K248" xr:uid="{00000000-0002-0000-0000-000000000000}">
      <formula1>$AK$13:$AK$18</formula1>
    </dataValidation>
    <dataValidation type="custom" allowBlank="1" showInputMessage="1" showErrorMessage="1" sqref="I63:K63 A102:A109 A63:A100 A111:A112" xr:uid="{00000000-0002-0000-0000-000001000000}">
      <formula1>$D$1&lt;2</formula1>
    </dataValidation>
    <dataValidation type="list" allowBlank="1" showInputMessage="1" showErrorMessage="1" sqref="D1:D3" xr:uid="{00000000-0002-0000-0000-000002000000}">
      <formula1>$AK$1:$AK$5</formula1>
    </dataValidation>
  </dataValidations>
  <pageMargins left="0.7" right="0.7" top="0.75" bottom="0.75" header="0.3" footer="0.3"/>
  <pageSetup scale="74" orientation="portrait" r:id="rId1"/>
  <rowBreaks count="4" manualBreakCount="4">
    <brk id="61" max="16383" man="1"/>
    <brk id="112" max="16383" man="1"/>
    <brk id="163" max="16383" man="1"/>
    <brk id="214" max="16383" man="1"/>
  </rowBreaks>
  <colBreaks count="1" manualBreakCount="1">
    <brk id="14" max="1048575" man="1"/>
  </colBreaks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419"/>
  <sheetViews>
    <sheetView zoomScaleNormal="100" workbookViewId="0">
      <pane ySplit="3" topLeftCell="A16" activePane="bottomLeft" state="frozen"/>
      <selection pane="bottomLeft" activeCell="D18" sqref="D18"/>
    </sheetView>
  </sheetViews>
  <sheetFormatPr defaultColWidth="9.14453125" defaultRowHeight="15" x14ac:dyDescent="0.2"/>
  <cols>
    <col min="1" max="1" width="9.14453125" style="25"/>
    <col min="2" max="2" width="41.1640625" style="26" customWidth="1"/>
    <col min="3" max="3" width="9.953125" style="25" bestFit="1" customWidth="1"/>
    <col min="4" max="4" width="41.1640625" style="5" bestFit="1" customWidth="1"/>
    <col min="5" max="7" width="15.6015625" style="5" customWidth="1"/>
    <col min="8" max="16384" width="9.14453125" style="5"/>
  </cols>
  <sheetData>
    <row r="1" spans="1:7" ht="15.75" thickBot="1" x14ac:dyDescent="0.25">
      <c r="A1" s="1"/>
      <c r="B1" s="2" t="s">
        <v>0</v>
      </c>
      <c r="C1" s="3"/>
      <c r="D1" s="4"/>
      <c r="E1" s="4"/>
      <c r="F1" s="4"/>
      <c r="G1" s="4"/>
    </row>
    <row r="2" spans="1:7" ht="15.75" thickTop="1" x14ac:dyDescent="0.2">
      <c r="A2" s="121" t="s">
        <v>1</v>
      </c>
      <c r="B2" s="123" t="s">
        <v>2</v>
      </c>
      <c r="C2" s="106" t="s">
        <v>3</v>
      </c>
      <c r="D2" s="106" t="s">
        <v>4</v>
      </c>
      <c r="E2" s="106" t="s">
        <v>5</v>
      </c>
      <c r="F2" s="106"/>
      <c r="G2" s="106"/>
    </row>
    <row r="3" spans="1:7" ht="15.75" thickBot="1" x14ac:dyDescent="0.25">
      <c r="A3" s="122"/>
      <c r="B3" s="124"/>
      <c r="C3" s="107"/>
      <c r="D3" s="107"/>
      <c r="E3" s="6"/>
      <c r="F3" s="6"/>
      <c r="G3" s="6"/>
    </row>
    <row r="4" spans="1:7" x14ac:dyDescent="0.2">
      <c r="A4" s="108">
        <v>40001</v>
      </c>
      <c r="B4" s="111" t="s">
        <v>6</v>
      </c>
      <c r="C4" s="7">
        <v>0</v>
      </c>
      <c r="D4" s="54" t="s">
        <v>1023</v>
      </c>
      <c r="E4" s="7"/>
      <c r="F4" s="7"/>
      <c r="G4" s="7"/>
    </row>
    <row r="5" spans="1:7" x14ac:dyDescent="0.2">
      <c r="A5" s="109"/>
      <c r="B5" s="112"/>
      <c r="C5" s="8">
        <f>C4+1</f>
        <v>1</v>
      </c>
      <c r="D5" s="55" t="s">
        <v>7</v>
      </c>
      <c r="E5" s="9"/>
      <c r="F5" s="9"/>
      <c r="G5" s="9"/>
    </row>
    <row r="6" spans="1:7" x14ac:dyDescent="0.2">
      <c r="A6" s="109"/>
      <c r="B6" s="112"/>
      <c r="C6" s="8">
        <f t="shared" ref="C6:C14" si="0">C5+1</f>
        <v>2</v>
      </c>
      <c r="D6" s="55" t="s">
        <v>1024</v>
      </c>
      <c r="E6" s="9"/>
      <c r="F6" s="9"/>
      <c r="G6" s="9"/>
    </row>
    <row r="7" spans="1:7" x14ac:dyDescent="0.2">
      <c r="A7" s="109"/>
      <c r="B7" s="112"/>
      <c r="C7" s="8">
        <f t="shared" si="0"/>
        <v>3</v>
      </c>
      <c r="D7" s="55" t="s">
        <v>8</v>
      </c>
      <c r="E7" s="9"/>
      <c r="F7" s="9"/>
      <c r="G7" s="9"/>
    </row>
    <row r="8" spans="1:7" x14ac:dyDescent="0.2">
      <c r="A8" s="109"/>
      <c r="B8" s="112"/>
      <c r="C8" s="8">
        <f t="shared" si="0"/>
        <v>4</v>
      </c>
      <c r="D8" s="55" t="s">
        <v>9</v>
      </c>
      <c r="E8" s="9"/>
      <c r="F8" s="9"/>
      <c r="G8" s="9"/>
    </row>
    <row r="9" spans="1:7" x14ac:dyDescent="0.2">
      <c r="A9" s="109"/>
      <c r="B9" s="112"/>
      <c r="C9" s="8">
        <f t="shared" si="0"/>
        <v>5</v>
      </c>
      <c r="D9" s="55" t="s">
        <v>10</v>
      </c>
      <c r="E9" s="9"/>
      <c r="F9" s="9"/>
      <c r="G9" s="9"/>
    </row>
    <row r="10" spans="1:7" x14ac:dyDescent="0.2">
      <c r="A10" s="109"/>
      <c r="B10" s="112"/>
      <c r="C10" s="8">
        <f t="shared" si="0"/>
        <v>6</v>
      </c>
      <c r="D10" s="55" t="s">
        <v>11</v>
      </c>
      <c r="E10" s="9"/>
      <c r="F10" s="9"/>
      <c r="G10" s="9"/>
    </row>
    <row r="11" spans="1:7" x14ac:dyDescent="0.2">
      <c r="A11" s="109"/>
      <c r="B11" s="112"/>
      <c r="C11" s="8">
        <f t="shared" si="0"/>
        <v>7</v>
      </c>
      <c r="D11" s="55" t="s">
        <v>12</v>
      </c>
      <c r="E11" s="9"/>
      <c r="F11" s="9"/>
      <c r="G11" s="9"/>
    </row>
    <row r="12" spans="1:7" x14ac:dyDescent="0.2">
      <c r="A12" s="109"/>
      <c r="B12" s="112"/>
      <c r="C12" s="8">
        <f t="shared" si="0"/>
        <v>8</v>
      </c>
      <c r="D12" s="55" t="s">
        <v>13</v>
      </c>
      <c r="E12" s="9"/>
      <c r="F12" s="9"/>
      <c r="G12" s="9"/>
    </row>
    <row r="13" spans="1:7" x14ac:dyDescent="0.2">
      <c r="A13" s="109"/>
      <c r="B13" s="112"/>
      <c r="C13" s="8">
        <f t="shared" si="0"/>
        <v>9</v>
      </c>
      <c r="D13" s="55" t="s">
        <v>14</v>
      </c>
      <c r="E13" s="9"/>
      <c r="F13" s="9"/>
      <c r="G13" s="9"/>
    </row>
    <row r="14" spans="1:7" ht="15.75" thickBot="1" x14ac:dyDescent="0.25">
      <c r="A14" s="110"/>
      <c r="B14" s="113"/>
      <c r="C14" s="10">
        <f t="shared" si="0"/>
        <v>10</v>
      </c>
      <c r="D14" s="56"/>
      <c r="E14" s="10"/>
      <c r="F14" s="10"/>
      <c r="G14" s="10"/>
    </row>
    <row r="15" spans="1:7" ht="15.75" thickBot="1" x14ac:dyDescent="0.25">
      <c r="A15" s="11">
        <v>40002</v>
      </c>
      <c r="B15" s="12" t="s">
        <v>15</v>
      </c>
      <c r="C15" s="13"/>
      <c r="D15" s="57"/>
      <c r="E15" s="14"/>
      <c r="F15" s="14"/>
      <c r="G15" s="14"/>
    </row>
    <row r="16" spans="1:7" ht="15.75" thickBot="1" x14ac:dyDescent="0.25">
      <c r="A16" s="11">
        <v>40003</v>
      </c>
      <c r="B16" s="12" t="s">
        <v>16</v>
      </c>
      <c r="C16" s="13"/>
      <c r="D16" s="57"/>
      <c r="E16" s="14"/>
      <c r="F16" s="14"/>
      <c r="G16" s="14"/>
    </row>
    <row r="17" spans="1:7" x14ac:dyDescent="0.2">
      <c r="A17" s="108">
        <v>40004</v>
      </c>
      <c r="B17" s="114" t="s">
        <v>17</v>
      </c>
      <c r="C17" s="7">
        <v>0</v>
      </c>
      <c r="D17" s="58" t="s">
        <v>18</v>
      </c>
      <c r="E17" s="16"/>
      <c r="F17" s="16"/>
      <c r="G17" s="16"/>
    </row>
    <row r="18" spans="1:7" x14ac:dyDescent="0.2">
      <c r="A18" s="109"/>
      <c r="B18" s="115"/>
      <c r="C18" s="8">
        <v>1</v>
      </c>
      <c r="D18" s="17" t="str">
        <f>IF(TB_IO!B13=""," ",TB_IO!B13)</f>
        <v>Suction Stage 1 Pressure</v>
      </c>
      <c r="E18" s="17" t="str">
        <f>IF(TB_IO!L13=""," ",TB_IO!L13)</f>
        <v xml:space="preserve"> </v>
      </c>
      <c r="F18" s="18"/>
      <c r="G18" s="18"/>
    </row>
    <row r="19" spans="1:7" x14ac:dyDescent="0.2">
      <c r="A19" s="109"/>
      <c r="B19" s="116"/>
      <c r="C19" s="8">
        <f>C18+1</f>
        <v>2</v>
      </c>
      <c r="D19" s="17" t="str">
        <f>IF(TB_IO!B14=""," ",TB_IO!B14)</f>
        <v>Discharge Stage 1 Pressure</v>
      </c>
      <c r="E19" s="17" t="str">
        <f>IF(TB_IO!L14=""," ",TB_IO!L14)</f>
        <v xml:space="preserve"> </v>
      </c>
      <c r="F19" s="18"/>
      <c r="G19" s="18"/>
    </row>
    <row r="20" spans="1:7" x14ac:dyDescent="0.2">
      <c r="A20" s="109"/>
      <c r="B20" s="116"/>
      <c r="C20" s="8">
        <f t="shared" ref="C20:C83" si="1">C19+1</f>
        <v>3</v>
      </c>
      <c r="D20" s="17" t="str">
        <f>IF(TB_IO!B15=""," ",TB_IO!B15)</f>
        <v xml:space="preserve"> </v>
      </c>
      <c r="E20" s="17" t="str">
        <f>IF(TB_IO!L15=""," ",TB_IO!L15)</f>
        <v xml:space="preserve"> </v>
      </c>
      <c r="F20" s="18"/>
      <c r="G20" s="18"/>
    </row>
    <row r="21" spans="1:7" x14ac:dyDescent="0.2">
      <c r="A21" s="109"/>
      <c r="B21" s="116"/>
      <c r="C21" s="8">
        <f t="shared" si="1"/>
        <v>4</v>
      </c>
      <c r="D21" s="17" t="str">
        <f>IF(TB_IO!B16=""," ",TB_IO!B16)</f>
        <v>Discharge Stage 2 Pressure</v>
      </c>
      <c r="E21" s="17" t="str">
        <f>IF(TB_IO!L16=""," ",TB_IO!L16)</f>
        <v xml:space="preserve"> </v>
      </c>
      <c r="F21" s="18"/>
      <c r="G21" s="18"/>
    </row>
    <row r="22" spans="1:7" x14ac:dyDescent="0.2">
      <c r="A22" s="109"/>
      <c r="B22" s="116"/>
      <c r="C22" s="8">
        <f t="shared" si="1"/>
        <v>5</v>
      </c>
      <c r="D22" s="17" t="str">
        <f>IF(TB_IO!B17=""," ",TB_IO!B17)</f>
        <v>3rd Stage Suction Pressure</v>
      </c>
      <c r="E22" s="17" t="str">
        <f>IF(TB_IO!L17=""," ",TB_IO!L17)</f>
        <v xml:space="preserve"> </v>
      </c>
      <c r="F22" s="18"/>
      <c r="G22" s="18"/>
    </row>
    <row r="23" spans="1:7" x14ac:dyDescent="0.2">
      <c r="A23" s="109"/>
      <c r="B23" s="116"/>
      <c r="C23" s="8">
        <f t="shared" si="1"/>
        <v>6</v>
      </c>
      <c r="D23" s="17" t="str">
        <f>IF(TB_IO!B18=""," ",TB_IO!B18)</f>
        <v>3rd Stage Discharge Pressure</v>
      </c>
      <c r="E23" s="17" t="str">
        <f>IF(TB_IO!L18=""," ",TB_IO!L18)</f>
        <v xml:space="preserve"> </v>
      </c>
      <c r="F23" s="18"/>
      <c r="G23" s="18"/>
    </row>
    <row r="24" spans="1:7" x14ac:dyDescent="0.2">
      <c r="A24" s="109"/>
      <c r="B24" s="116"/>
      <c r="C24" s="8">
        <f t="shared" si="1"/>
        <v>7</v>
      </c>
      <c r="D24" s="17" t="str">
        <f>IF(TB_IO!B19=""," ",TB_IO!B19)</f>
        <v>Compressor Lube Oil Pressure</v>
      </c>
      <c r="E24" s="17" t="str">
        <f>IF(TB_IO!L19=""," ",TB_IO!L19)</f>
        <v xml:space="preserve"> </v>
      </c>
      <c r="F24" s="18"/>
      <c r="G24" s="18"/>
    </row>
    <row r="25" spans="1:7" x14ac:dyDescent="0.2">
      <c r="A25" s="109"/>
      <c r="B25" s="116"/>
      <c r="C25" s="8">
        <f t="shared" si="1"/>
        <v>8</v>
      </c>
      <c r="D25" s="17" t="str">
        <f>IF(TB_IO!B20=""," ",TB_IO!B20)</f>
        <v>Engine Lube Oil Pressure</v>
      </c>
      <c r="E25" s="17" t="str">
        <f>IF(TB_IO!L20=""," ",TB_IO!L20)</f>
        <v xml:space="preserve"> </v>
      </c>
      <c r="F25" s="18"/>
      <c r="G25" s="18"/>
    </row>
    <row r="26" spans="1:7" x14ac:dyDescent="0.2">
      <c r="A26" s="109"/>
      <c r="B26" s="116"/>
      <c r="C26" s="8">
        <f t="shared" si="1"/>
        <v>9</v>
      </c>
      <c r="D26" s="17" t="str">
        <f>IF(TB_IO!B21=""," ",TB_IO!B21)</f>
        <v>GD01 Gas Detector- Comp side</v>
      </c>
      <c r="E26" s="17" t="str">
        <f>IF(TB_IO!L21=""," ",TB_IO!L21)</f>
        <v xml:space="preserve"> </v>
      </c>
      <c r="F26" s="18"/>
      <c r="G26" s="18"/>
    </row>
    <row r="27" spans="1:7" x14ac:dyDescent="0.2">
      <c r="A27" s="109"/>
      <c r="B27" s="116"/>
      <c r="C27" s="8">
        <f t="shared" si="1"/>
        <v>10</v>
      </c>
      <c r="D27" s="17" t="str">
        <f>IF(TB_IO!B22=""," ",TB_IO!B22)</f>
        <v>GD012 Gas Detector- Engine side</v>
      </c>
      <c r="E27" s="17" t="str">
        <f>IF(TB_IO!L22=""," ",TB_IO!L22)</f>
        <v xml:space="preserve"> </v>
      </c>
      <c r="F27" s="18"/>
      <c r="G27" s="18"/>
    </row>
    <row r="28" spans="1:7" x14ac:dyDescent="0.2">
      <c r="A28" s="109"/>
      <c r="B28" s="116"/>
      <c r="C28" s="8">
        <f t="shared" si="1"/>
        <v>11</v>
      </c>
      <c r="D28" s="17" t="str">
        <f>IF(TB_IO!B23=""," ",TB_IO!B23)</f>
        <v xml:space="preserve"> </v>
      </c>
      <c r="E28" s="17" t="str">
        <f>IF(TB_IO!L23=""," ",TB_IO!L23)</f>
        <v xml:space="preserve"> </v>
      </c>
      <c r="F28" s="18"/>
      <c r="G28" s="18"/>
    </row>
    <row r="29" spans="1:7" x14ac:dyDescent="0.2">
      <c r="A29" s="109"/>
      <c r="B29" s="116"/>
      <c r="C29" s="8">
        <f t="shared" si="1"/>
        <v>12</v>
      </c>
      <c r="D29" s="17" t="str">
        <f>IF(TB_IO!B24=""," ",TB_IO!B24)</f>
        <v xml:space="preserve"> </v>
      </c>
      <c r="E29" s="17" t="str">
        <f>IF(TB_IO!L24=""," ",TB_IO!L24)</f>
        <v xml:space="preserve"> </v>
      </c>
      <c r="F29" s="18"/>
      <c r="G29" s="18"/>
    </row>
    <row r="30" spans="1:7" x14ac:dyDescent="0.2">
      <c r="A30" s="109"/>
      <c r="B30" s="116"/>
      <c r="C30" s="8">
        <f t="shared" si="1"/>
        <v>13</v>
      </c>
      <c r="D30" s="17" t="str">
        <f>IF(TB_IO!B25=""," ",TB_IO!B25)</f>
        <v xml:space="preserve"> </v>
      </c>
      <c r="E30" s="17" t="str">
        <f>IF(TB_IO!L25=""," ",TB_IO!L25)</f>
        <v xml:space="preserve"> </v>
      </c>
      <c r="F30" s="18"/>
      <c r="G30" s="18"/>
    </row>
    <row r="31" spans="1:7" x14ac:dyDescent="0.2">
      <c r="A31" s="109"/>
      <c r="B31" s="116"/>
      <c r="C31" s="8">
        <f t="shared" si="1"/>
        <v>14</v>
      </c>
      <c r="D31" s="17" t="str">
        <f>IF(TB_IO!B26=""," ",TB_IO!B26)</f>
        <v xml:space="preserve"> </v>
      </c>
      <c r="E31" s="17" t="str">
        <f>IF(TB_IO!L26=""," ",TB_IO!L26)</f>
        <v xml:space="preserve"> </v>
      </c>
      <c r="F31" s="18"/>
      <c r="G31" s="18"/>
    </row>
    <row r="32" spans="1:7" x14ac:dyDescent="0.2">
      <c r="A32" s="109"/>
      <c r="B32" s="116"/>
      <c r="C32" s="8">
        <f t="shared" si="1"/>
        <v>15</v>
      </c>
      <c r="D32" s="17" t="str">
        <f>IF(TB_IO!B27=""," ",TB_IO!B27)</f>
        <v xml:space="preserve"> </v>
      </c>
      <c r="E32" s="17" t="str">
        <f>IF(TB_IO!L27=""," ",TB_IO!L27)</f>
        <v xml:space="preserve"> </v>
      </c>
      <c r="F32" s="18"/>
      <c r="G32" s="18"/>
    </row>
    <row r="33" spans="1:7" x14ac:dyDescent="0.2">
      <c r="A33" s="109"/>
      <c r="B33" s="116"/>
      <c r="C33" s="8">
        <f t="shared" si="1"/>
        <v>16</v>
      </c>
      <c r="D33" s="17" t="str">
        <f>IF(TB_IO!B28=""," ",TB_IO!B28)</f>
        <v xml:space="preserve"> </v>
      </c>
      <c r="E33" s="17" t="str">
        <f>IF(TB_IO!L28=""," ",TB_IO!L28)</f>
        <v xml:space="preserve"> </v>
      </c>
      <c r="F33" s="18"/>
      <c r="G33" s="18"/>
    </row>
    <row r="34" spans="1:7" x14ac:dyDescent="0.2">
      <c r="A34" s="109"/>
      <c r="B34" s="116"/>
      <c r="C34" s="8">
        <f t="shared" si="1"/>
        <v>17</v>
      </c>
      <c r="D34" s="17" t="str">
        <f>IF(TB_IO!B29=""," ",TB_IO!B29)</f>
        <v>Lube No Flow switch</v>
      </c>
      <c r="E34" s="17" t="str">
        <f>IF(TB_IO!L29=""," ",TB_IO!L29)</f>
        <v xml:space="preserve"> </v>
      </c>
      <c r="F34" s="18"/>
      <c r="G34" s="18"/>
    </row>
    <row r="35" spans="1:7" x14ac:dyDescent="0.2">
      <c r="A35" s="109"/>
      <c r="B35" s="116"/>
      <c r="C35" s="8">
        <f t="shared" si="1"/>
        <v>18</v>
      </c>
      <c r="D35" s="17" t="str">
        <f>IF(TB_IO!B30=""," ",TB_IO!B30)</f>
        <v>Engine Oil Level LSLL</v>
      </c>
      <c r="E35" s="17" t="str">
        <f>IF(TB_IO!L30=""," ",TB_IO!L30)</f>
        <v xml:space="preserve"> </v>
      </c>
      <c r="F35" s="18"/>
      <c r="G35" s="18"/>
    </row>
    <row r="36" spans="1:7" x14ac:dyDescent="0.2">
      <c r="A36" s="109"/>
      <c r="B36" s="116"/>
      <c r="C36" s="8">
        <f t="shared" si="1"/>
        <v>19</v>
      </c>
      <c r="D36" s="17" t="str">
        <f>IF(TB_IO!B31=""," ",TB_IO!B31)</f>
        <v>Compressor Oil Level LSLL</v>
      </c>
      <c r="E36" s="17" t="str">
        <f>IF(TB_IO!L31=""," ",TB_IO!L31)</f>
        <v xml:space="preserve"> </v>
      </c>
      <c r="F36" s="18"/>
      <c r="G36" s="18"/>
    </row>
    <row r="37" spans="1:7" x14ac:dyDescent="0.2">
      <c r="A37" s="109"/>
      <c r="B37" s="116"/>
      <c r="C37" s="8">
        <f t="shared" si="1"/>
        <v>20</v>
      </c>
      <c r="D37" s="17" t="str">
        <f>IF(TB_IO!B32=""," ",TB_IO!B32)</f>
        <v>Engine JW water Level LSLL</v>
      </c>
      <c r="E37" s="17" t="str">
        <f>IF(TB_IO!L32=""," ",TB_IO!L32)</f>
        <v xml:space="preserve"> </v>
      </c>
      <c r="F37" s="18"/>
      <c r="G37" s="18"/>
    </row>
    <row r="38" spans="1:7" x14ac:dyDescent="0.2">
      <c r="A38" s="109"/>
      <c r="B38" s="116"/>
      <c r="C38" s="8">
        <f t="shared" si="1"/>
        <v>21</v>
      </c>
      <c r="D38" s="17" t="str">
        <f>IF(TB_IO!B33=""," ",TB_IO!B33)</f>
        <v>Engine Aux Water Level LSLL</v>
      </c>
      <c r="E38" s="17" t="str">
        <f>IF(TB_IO!L33=""," ",TB_IO!L33)</f>
        <v xml:space="preserve"> </v>
      </c>
      <c r="F38" s="18"/>
      <c r="G38" s="18"/>
    </row>
    <row r="39" spans="1:7" x14ac:dyDescent="0.2">
      <c r="A39" s="109"/>
      <c r="B39" s="116"/>
      <c r="C39" s="8">
        <f t="shared" si="1"/>
        <v>22</v>
      </c>
      <c r="D39" s="17" t="str">
        <f>IF(TB_IO!B34=""," ",TB_IO!B34)</f>
        <v>Cooler Vibration VSHH</v>
      </c>
      <c r="E39" s="17" t="str">
        <f>IF(TB_IO!L34=""," ",TB_IO!L34)</f>
        <v xml:space="preserve"> </v>
      </c>
      <c r="F39" s="18"/>
      <c r="G39" s="18"/>
    </row>
    <row r="40" spans="1:7" x14ac:dyDescent="0.2">
      <c r="A40" s="109"/>
      <c r="B40" s="116"/>
      <c r="C40" s="8">
        <f t="shared" si="1"/>
        <v>23</v>
      </c>
      <c r="D40" s="17" t="str">
        <f>IF(TB_IO!B35=""," ",TB_IO!B35)</f>
        <v>Compressor Vibration VSHH</v>
      </c>
      <c r="E40" s="17" t="str">
        <f>IF(TB_IO!L35=""," ",TB_IO!L35)</f>
        <v xml:space="preserve"> </v>
      </c>
      <c r="F40" s="18"/>
      <c r="G40" s="18"/>
    </row>
    <row r="41" spans="1:7" x14ac:dyDescent="0.2">
      <c r="A41" s="109"/>
      <c r="B41" s="116"/>
      <c r="C41" s="8">
        <f t="shared" si="1"/>
        <v>24</v>
      </c>
      <c r="D41" s="17" t="str">
        <f>IF(TB_IO!B36=""," ",TB_IO!B36)</f>
        <v>Engine Vibration VSHH</v>
      </c>
      <c r="E41" s="17" t="str">
        <f>IF(TB_IO!L36=""," ",TB_IO!L36)</f>
        <v xml:space="preserve"> </v>
      </c>
      <c r="F41" s="18"/>
      <c r="G41" s="18"/>
    </row>
    <row r="42" spans="1:7" x14ac:dyDescent="0.2">
      <c r="A42" s="109"/>
      <c r="B42" s="116"/>
      <c r="C42" s="8">
        <f t="shared" si="1"/>
        <v>25</v>
      </c>
      <c r="D42" s="17" t="str">
        <f>IF(TB_IO!B37=""," ",TB_IO!B37)</f>
        <v>1st STG Scrubber Level HIGH</v>
      </c>
      <c r="E42" s="17" t="str">
        <f>IF(TB_IO!L37=""," ",TB_IO!L37)</f>
        <v xml:space="preserve"> </v>
      </c>
      <c r="F42" s="18"/>
      <c r="G42" s="18"/>
    </row>
    <row r="43" spans="1:7" x14ac:dyDescent="0.2">
      <c r="A43" s="109"/>
      <c r="B43" s="116"/>
      <c r="C43" s="8">
        <f t="shared" si="1"/>
        <v>26</v>
      </c>
      <c r="D43" s="17" t="str">
        <f>IF(TB_IO!B38=""," ",TB_IO!B38)</f>
        <v>2nd Stg Scrubber Level HIGH</v>
      </c>
      <c r="E43" s="17" t="str">
        <f>IF(TB_IO!L38=""," ",TB_IO!L38)</f>
        <v xml:space="preserve"> </v>
      </c>
      <c r="F43" s="18"/>
      <c r="G43" s="18"/>
    </row>
    <row r="44" spans="1:7" x14ac:dyDescent="0.2">
      <c r="A44" s="109"/>
      <c r="B44" s="116"/>
      <c r="C44" s="8">
        <f t="shared" si="1"/>
        <v>27</v>
      </c>
      <c r="D44" s="17" t="str">
        <f>IF(TB_IO!B39=""," ",TB_IO!B39)</f>
        <v>3rd STG Scrubber Level HIGH</v>
      </c>
      <c r="E44" s="17" t="str">
        <f>IF(TB_IO!L39=""," ",TB_IO!L39)</f>
        <v xml:space="preserve"> </v>
      </c>
      <c r="F44" s="18"/>
      <c r="G44" s="18"/>
    </row>
    <row r="45" spans="1:7" x14ac:dyDescent="0.2">
      <c r="A45" s="109"/>
      <c r="B45" s="116"/>
      <c r="C45" s="8">
        <f t="shared" si="1"/>
        <v>28</v>
      </c>
      <c r="D45" s="17" t="str">
        <f>IF(TB_IO!B40=""," ",TB_IO!B40)</f>
        <v>CEC DSM Fault</v>
      </c>
      <c r="E45" s="17" t="str">
        <f>IF(TB_IO!L40=""," ",TB_IO!L40)</f>
        <v xml:space="preserve"> </v>
      </c>
      <c r="F45" s="18"/>
      <c r="G45" s="18"/>
    </row>
    <row r="46" spans="1:7" x14ac:dyDescent="0.2">
      <c r="A46" s="109"/>
      <c r="B46" s="116"/>
      <c r="C46" s="8">
        <f t="shared" si="1"/>
        <v>29</v>
      </c>
      <c r="D46" s="17" t="str">
        <f>IF(TB_IO!B41=""," ",TB_IO!B41)</f>
        <v>Engine Started</v>
      </c>
      <c r="E46" s="17" t="str">
        <f>IF(TB_IO!L41=""," ",TB_IO!L41)</f>
        <v xml:space="preserve"> </v>
      </c>
      <c r="F46" s="18"/>
      <c r="G46" s="18"/>
    </row>
    <row r="47" spans="1:7" x14ac:dyDescent="0.2">
      <c r="A47" s="109"/>
      <c r="B47" s="116"/>
      <c r="C47" s="8">
        <f t="shared" si="1"/>
        <v>30</v>
      </c>
      <c r="D47" s="17" t="str">
        <f>IF(TB_IO!B42=""," ",TB_IO!B42)</f>
        <v>Remote Stop USD</v>
      </c>
      <c r="E47" s="17" t="str">
        <f>IF(TB_IO!L42=""," ",TB_IO!L42)</f>
        <v xml:space="preserve"> </v>
      </c>
      <c r="F47" s="18"/>
      <c r="G47" s="18"/>
    </row>
    <row r="48" spans="1:7" x14ac:dyDescent="0.2">
      <c r="A48" s="109"/>
      <c r="B48" s="116"/>
      <c r="C48" s="8">
        <f t="shared" si="1"/>
        <v>31</v>
      </c>
      <c r="D48" s="17" t="str">
        <f>IF(TB_IO!B43=""," ",TB_IO!B43)</f>
        <v>Station ESD</v>
      </c>
      <c r="E48" s="17" t="str">
        <f>IF(TB_IO!L43=""," ",TB_IO!L43)</f>
        <v xml:space="preserve"> </v>
      </c>
      <c r="F48" s="18"/>
      <c r="G48" s="18"/>
    </row>
    <row r="49" spans="1:7" x14ac:dyDescent="0.2">
      <c r="A49" s="109"/>
      <c r="B49" s="116"/>
      <c r="C49" s="8">
        <f t="shared" si="1"/>
        <v>32</v>
      </c>
      <c r="D49" s="17" t="str">
        <f>IF(TB_IO!B44=""," ",TB_IO!B44)</f>
        <v>Panel Emergency Stop</v>
      </c>
      <c r="E49" s="17" t="str">
        <f>IF(TB_IO!L44=""," ",TB_IO!L44)</f>
        <v xml:space="preserve"> </v>
      </c>
      <c r="F49" s="18"/>
      <c r="G49" s="18"/>
    </row>
    <row r="50" spans="1:7" x14ac:dyDescent="0.2">
      <c r="A50" s="109"/>
      <c r="B50" s="116"/>
      <c r="C50" s="8">
        <f t="shared" si="1"/>
        <v>33</v>
      </c>
      <c r="D50" s="17" t="str">
        <f>IF(TB_IO!B64=""," ",TB_IO!B64)</f>
        <v>COMPRESSOR OIL TEMP</v>
      </c>
      <c r="E50" s="17" t="str">
        <f>IF(TB_IO!L64=""," ",TB_IO!L64)</f>
        <v xml:space="preserve"> </v>
      </c>
      <c r="F50" s="18"/>
      <c r="G50" s="18"/>
    </row>
    <row r="51" spans="1:7" x14ac:dyDescent="0.2">
      <c r="A51" s="109"/>
      <c r="B51" s="116"/>
      <c r="C51" s="8">
        <f t="shared" si="1"/>
        <v>34</v>
      </c>
      <c r="D51" s="17" t="str">
        <f>IF(TB_IO!B65=""," ",TB_IO!B65)</f>
        <v>CYL#1 DISCHARGE TEMP</v>
      </c>
      <c r="E51" s="17" t="str">
        <f>IF(TB_IO!L65=""," ",TB_IO!L65)</f>
        <v xml:space="preserve"> </v>
      </c>
      <c r="F51" s="18"/>
      <c r="G51" s="18"/>
    </row>
    <row r="52" spans="1:7" x14ac:dyDescent="0.2">
      <c r="A52" s="109"/>
      <c r="B52" s="116"/>
      <c r="C52" s="8">
        <f t="shared" si="1"/>
        <v>35</v>
      </c>
      <c r="D52" s="17" t="str">
        <f>IF(TB_IO!B66=""," ",TB_IO!B66)</f>
        <v>CYL#2 DISCHARGE TEMP</v>
      </c>
      <c r="E52" s="17" t="str">
        <f>IF(TB_IO!L66=""," ",TB_IO!L66)</f>
        <v xml:space="preserve"> </v>
      </c>
      <c r="F52" s="18"/>
      <c r="G52" s="18"/>
    </row>
    <row r="53" spans="1:7" x14ac:dyDescent="0.2">
      <c r="A53" s="109"/>
      <c r="B53" s="116"/>
      <c r="C53" s="8">
        <f t="shared" si="1"/>
        <v>36</v>
      </c>
      <c r="D53" s="17" t="str">
        <f>IF(TB_IO!B67=""," ",TB_IO!B67)</f>
        <v>CYL#3 DISCHARGE TEMP</v>
      </c>
      <c r="E53" s="17" t="str">
        <f>IF(TB_IO!L67=""," ",TB_IO!L67)</f>
        <v xml:space="preserve"> </v>
      </c>
      <c r="F53" s="18"/>
      <c r="G53" s="18"/>
    </row>
    <row r="54" spans="1:7" x14ac:dyDescent="0.2">
      <c r="A54" s="109"/>
      <c r="B54" s="116"/>
      <c r="C54" s="8">
        <f t="shared" si="1"/>
        <v>37</v>
      </c>
      <c r="D54" s="17" t="str">
        <f>IF(TB_IO!B68=""," ",TB_IO!B68)</f>
        <v>CYL#4 DISCHARGE TEMP</v>
      </c>
      <c r="E54" s="17" t="str">
        <f>IF(TB_IO!L68=""," ",TB_IO!L68)</f>
        <v xml:space="preserve"> </v>
      </c>
      <c r="F54" s="18"/>
      <c r="G54" s="18"/>
    </row>
    <row r="55" spans="1:7" x14ac:dyDescent="0.2">
      <c r="A55" s="109"/>
      <c r="B55" s="116"/>
      <c r="C55" s="8">
        <f t="shared" si="1"/>
        <v>38</v>
      </c>
      <c r="D55" s="17" t="str">
        <f>IF(TB_IO!B69=""," ",TB_IO!B69)</f>
        <v xml:space="preserve"> </v>
      </c>
      <c r="E55" s="17" t="str">
        <f>IF(TB_IO!L69=""," ",TB_IO!L69)</f>
        <v xml:space="preserve"> </v>
      </c>
      <c r="F55" s="18"/>
      <c r="G55" s="18"/>
    </row>
    <row r="56" spans="1:7" x14ac:dyDescent="0.2">
      <c r="A56" s="109"/>
      <c r="B56" s="116"/>
      <c r="C56" s="8">
        <f t="shared" si="1"/>
        <v>39</v>
      </c>
      <c r="D56" s="17" t="str">
        <f>IF(TB_IO!B70=""," ",TB_IO!B70)</f>
        <v xml:space="preserve"> </v>
      </c>
      <c r="E56" s="17" t="str">
        <f>IF(TB_IO!L70=""," ",TB_IO!L70)</f>
        <v xml:space="preserve"> </v>
      </c>
      <c r="F56" s="18"/>
      <c r="G56" s="18"/>
    </row>
    <row r="57" spans="1:7" x14ac:dyDescent="0.2">
      <c r="A57" s="109"/>
      <c r="B57" s="116"/>
      <c r="C57" s="8">
        <f t="shared" si="1"/>
        <v>40</v>
      </c>
      <c r="D57" s="17" t="str">
        <f>IF(TB_IO!B71=""," ",TB_IO!B71)</f>
        <v xml:space="preserve"> </v>
      </c>
      <c r="E57" s="17" t="str">
        <f>IF(TB_IO!L71=""," ",TB_IO!L71)</f>
        <v xml:space="preserve"> </v>
      </c>
      <c r="F57" s="18"/>
      <c r="G57" s="18"/>
    </row>
    <row r="58" spans="1:7" x14ac:dyDescent="0.2">
      <c r="A58" s="109"/>
      <c r="B58" s="116"/>
      <c r="C58" s="8">
        <f t="shared" si="1"/>
        <v>41</v>
      </c>
      <c r="D58" s="17" t="str">
        <f>IF(TB_IO!B72=""," ",TB_IO!B72)</f>
        <v>ENGINE OIL TEMP</v>
      </c>
      <c r="E58" s="17" t="str">
        <f>IF(TB_IO!L72=""," ",TB_IO!L72)</f>
        <v xml:space="preserve"> </v>
      </c>
      <c r="F58" s="18"/>
      <c r="G58" s="18"/>
    </row>
    <row r="59" spans="1:7" x14ac:dyDescent="0.2">
      <c r="A59" s="109"/>
      <c r="B59" s="116"/>
      <c r="C59" s="8">
        <f t="shared" si="1"/>
        <v>42</v>
      </c>
      <c r="D59" s="17" t="str">
        <f>IF(TB_IO!B73=""," ",TB_IO!B73)</f>
        <v>ENGINE JACKET WATER TEMP</v>
      </c>
      <c r="E59" s="17" t="str">
        <f>IF(TB_IO!L73=""," ",TB_IO!L73)</f>
        <v xml:space="preserve"> </v>
      </c>
      <c r="F59" s="18"/>
      <c r="G59" s="18"/>
    </row>
    <row r="60" spans="1:7" x14ac:dyDescent="0.2">
      <c r="A60" s="109"/>
      <c r="B60" s="116"/>
      <c r="C60" s="8">
        <f t="shared" si="1"/>
        <v>43</v>
      </c>
      <c r="D60" s="17" t="str">
        <f>IF(TB_IO!B74=""," ",TB_IO!B74)</f>
        <v>Engine ESD Right Side</v>
      </c>
      <c r="E60" s="17" t="str">
        <f>IF(TB_IO!L74=""," ",TB_IO!L74)</f>
        <v xml:space="preserve"> </v>
      </c>
      <c r="F60" s="18"/>
      <c r="G60" s="18"/>
    </row>
    <row r="61" spans="1:7" x14ac:dyDescent="0.2">
      <c r="A61" s="109"/>
      <c r="B61" s="116"/>
      <c r="C61" s="8">
        <f t="shared" si="1"/>
        <v>44</v>
      </c>
      <c r="D61" s="17" t="str">
        <f>IF(TB_IO!B75=""," ",TB_IO!B75)</f>
        <v>Engine ESD Left Side</v>
      </c>
      <c r="E61" s="17" t="str">
        <f>IF(TB_IO!L75=""," ",TB_IO!L75)</f>
        <v xml:space="preserve"> </v>
      </c>
      <c r="F61" s="18"/>
      <c r="G61" s="18"/>
    </row>
    <row r="62" spans="1:7" x14ac:dyDescent="0.2">
      <c r="A62" s="109"/>
      <c r="B62" s="116"/>
      <c r="C62" s="8">
        <f t="shared" si="1"/>
        <v>45</v>
      </c>
      <c r="D62" s="17" t="str">
        <f>IF(TB_IO!B76=""," ",TB_IO!B76)</f>
        <v xml:space="preserve"> </v>
      </c>
      <c r="E62" s="17" t="str">
        <f>IF(TB_IO!L76=""," ",TB_IO!L76)</f>
        <v xml:space="preserve"> </v>
      </c>
      <c r="F62" s="18"/>
      <c r="G62" s="18"/>
    </row>
    <row r="63" spans="1:7" x14ac:dyDescent="0.2">
      <c r="A63" s="109"/>
      <c r="B63" s="116"/>
      <c r="C63" s="8">
        <f t="shared" si="1"/>
        <v>46</v>
      </c>
      <c r="D63" s="17" t="str">
        <f>IF(TB_IO!B77=""," ",TB_IO!B77)</f>
        <v xml:space="preserve"> </v>
      </c>
      <c r="E63" s="17" t="str">
        <f>IF(TB_IO!L77=""," ",TB_IO!L77)</f>
        <v xml:space="preserve"> </v>
      </c>
      <c r="F63" s="18"/>
      <c r="G63" s="18"/>
    </row>
    <row r="64" spans="1:7" x14ac:dyDescent="0.2">
      <c r="A64" s="109"/>
      <c r="B64" s="116"/>
      <c r="C64" s="8">
        <f t="shared" si="1"/>
        <v>47</v>
      </c>
      <c r="D64" s="17" t="str">
        <f>IF(TB_IO!B78=""," ",TB_IO!B78)</f>
        <v xml:space="preserve"> </v>
      </c>
      <c r="E64" s="17" t="str">
        <f>IF(TB_IO!L78=""," ",TB_IO!L78)</f>
        <v xml:space="preserve"> </v>
      </c>
      <c r="F64" s="18"/>
      <c r="G64" s="18"/>
    </row>
    <row r="65" spans="1:7" x14ac:dyDescent="0.2">
      <c r="A65" s="109"/>
      <c r="B65" s="116"/>
      <c r="C65" s="8">
        <f t="shared" si="1"/>
        <v>48</v>
      </c>
      <c r="D65" s="17" t="str">
        <f>IF(TB_IO!B79=""," ",TB_IO!B79)</f>
        <v xml:space="preserve"> </v>
      </c>
      <c r="E65" s="17" t="str">
        <f>IF(TB_IO!L79=""," ",TB_IO!L79)</f>
        <v xml:space="preserve"> </v>
      </c>
      <c r="F65" s="18"/>
      <c r="G65" s="18"/>
    </row>
    <row r="66" spans="1:7" x14ac:dyDescent="0.2">
      <c r="A66" s="109"/>
      <c r="B66" s="116"/>
      <c r="C66" s="8">
        <f t="shared" si="1"/>
        <v>49</v>
      </c>
      <c r="D66" s="17" t="str">
        <f>IF(TB_IO!B80=""," ",TB_IO!B80)</f>
        <v>ENGINE EXHAUST CYL 1 Left</v>
      </c>
      <c r="E66" s="17" t="str">
        <f>IF(TB_IO!L80=""," ",TB_IO!L80)</f>
        <v xml:space="preserve"> </v>
      </c>
      <c r="F66" s="18"/>
      <c r="G66" s="18"/>
    </row>
    <row r="67" spans="1:7" x14ac:dyDescent="0.2">
      <c r="A67" s="109"/>
      <c r="B67" s="116"/>
      <c r="C67" s="8">
        <f t="shared" si="1"/>
        <v>50</v>
      </c>
      <c r="D67" s="17" t="str">
        <f>IF(TB_IO!B81=""," ",TB_IO!B81)</f>
        <v>ENGINE EXHAUST CYL 2 Left</v>
      </c>
      <c r="E67" s="17" t="str">
        <f>IF(TB_IO!L81=""," ",TB_IO!L81)</f>
        <v xml:space="preserve"> </v>
      </c>
      <c r="F67" s="18"/>
      <c r="G67" s="18"/>
    </row>
    <row r="68" spans="1:7" x14ac:dyDescent="0.2">
      <c r="A68" s="109"/>
      <c r="B68" s="116"/>
      <c r="C68" s="8">
        <f t="shared" si="1"/>
        <v>51</v>
      </c>
      <c r="D68" s="17" t="str">
        <f>IF(TB_IO!B82=""," ",TB_IO!B82)</f>
        <v>ENGINE EXHAUST CYL 3 Left</v>
      </c>
      <c r="E68" s="17" t="str">
        <f>IF(TB_IO!L82=""," ",TB_IO!L82)</f>
        <v xml:space="preserve"> </v>
      </c>
      <c r="F68" s="18"/>
      <c r="G68" s="18"/>
    </row>
    <row r="69" spans="1:7" x14ac:dyDescent="0.2">
      <c r="A69" s="109"/>
      <c r="B69" s="116"/>
      <c r="C69" s="8">
        <f t="shared" si="1"/>
        <v>52</v>
      </c>
      <c r="D69" s="17" t="str">
        <f>IF(TB_IO!B83=""," ",TB_IO!B83)</f>
        <v>ENGINE EXHAUST CYL 4 Left</v>
      </c>
      <c r="E69" s="17" t="str">
        <f>IF(TB_IO!L83=""," ",TB_IO!L83)</f>
        <v xml:space="preserve"> </v>
      </c>
      <c r="F69" s="18"/>
      <c r="G69" s="18"/>
    </row>
    <row r="70" spans="1:7" x14ac:dyDescent="0.2">
      <c r="A70" s="109"/>
      <c r="B70" s="116"/>
      <c r="C70" s="8">
        <f t="shared" si="1"/>
        <v>53</v>
      </c>
      <c r="D70" s="17" t="str">
        <f>IF(TB_IO!B84=""," ",TB_IO!B84)</f>
        <v>ENGINE EXHAUST CYL 5 Left</v>
      </c>
      <c r="E70" s="17" t="str">
        <f>IF(TB_IO!L84=""," ",TB_IO!L84)</f>
        <v xml:space="preserve"> </v>
      </c>
      <c r="F70" s="18"/>
      <c r="G70" s="18"/>
    </row>
    <row r="71" spans="1:7" x14ac:dyDescent="0.2">
      <c r="A71" s="109"/>
      <c r="B71" s="116"/>
      <c r="C71" s="8">
        <f t="shared" si="1"/>
        <v>54</v>
      </c>
      <c r="D71" s="17" t="str">
        <f>IF(TB_IO!B85=""," ",TB_IO!B85)</f>
        <v>ENGINE EXHAUST CYL 6 Left</v>
      </c>
      <c r="E71" s="17" t="str">
        <f>IF(TB_IO!L85=""," ",TB_IO!L85)</f>
        <v xml:space="preserve"> </v>
      </c>
      <c r="F71" s="18"/>
      <c r="G71" s="18"/>
    </row>
    <row r="72" spans="1:7" x14ac:dyDescent="0.2">
      <c r="A72" s="109"/>
      <c r="B72" s="116"/>
      <c r="C72" s="8">
        <f t="shared" si="1"/>
        <v>55</v>
      </c>
      <c r="D72" s="17" t="str">
        <f>IF(TB_IO!B86=""," ",TB_IO!B86)</f>
        <v>ENGINE EXHAUST CYL 1 Right</v>
      </c>
      <c r="E72" s="17" t="str">
        <f>IF(TB_IO!L86=""," ",TB_IO!L86)</f>
        <v xml:space="preserve"> </v>
      </c>
      <c r="F72" s="18"/>
      <c r="G72" s="18"/>
    </row>
    <row r="73" spans="1:7" x14ac:dyDescent="0.2">
      <c r="A73" s="109"/>
      <c r="B73" s="116"/>
      <c r="C73" s="8">
        <f t="shared" si="1"/>
        <v>56</v>
      </c>
      <c r="D73" s="17" t="str">
        <f>IF(TB_IO!B87=""," ",TB_IO!B87)</f>
        <v>ENGINE EXHAUST CYL 2 Right</v>
      </c>
      <c r="E73" s="17" t="str">
        <f>IF(TB_IO!L87=""," ",TB_IO!L87)</f>
        <v xml:space="preserve"> </v>
      </c>
      <c r="F73" s="18"/>
      <c r="G73" s="18"/>
    </row>
    <row r="74" spans="1:7" x14ac:dyDescent="0.2">
      <c r="A74" s="109"/>
      <c r="B74" s="116"/>
      <c r="C74" s="8">
        <f t="shared" si="1"/>
        <v>57</v>
      </c>
      <c r="D74" s="17" t="str">
        <f>IF(TB_IO!B88=""," ",TB_IO!B88)</f>
        <v>ENGINE EXHAUST CYL 3 Right</v>
      </c>
      <c r="E74" s="17" t="str">
        <f>IF(TB_IO!L88=""," ",TB_IO!L88)</f>
        <v xml:space="preserve"> </v>
      </c>
      <c r="F74" s="18"/>
      <c r="G74" s="18"/>
    </row>
    <row r="75" spans="1:7" x14ac:dyDescent="0.2">
      <c r="A75" s="109"/>
      <c r="B75" s="116"/>
      <c r="C75" s="8">
        <f t="shared" si="1"/>
        <v>58</v>
      </c>
      <c r="D75" s="17" t="str">
        <f>IF(TB_IO!B89=""," ",TB_IO!B89)</f>
        <v>ENGINE EXHAUST CYL 4 Right</v>
      </c>
      <c r="E75" s="17" t="str">
        <f>IF(TB_IO!L89=""," ",TB_IO!L89)</f>
        <v xml:space="preserve"> </v>
      </c>
      <c r="F75" s="18"/>
      <c r="G75" s="18"/>
    </row>
    <row r="76" spans="1:7" x14ac:dyDescent="0.2">
      <c r="A76" s="109"/>
      <c r="B76" s="116"/>
      <c r="C76" s="8">
        <f t="shared" si="1"/>
        <v>59</v>
      </c>
      <c r="D76" s="17" t="str">
        <f>IF(TB_IO!B90=""," ",TB_IO!B90)</f>
        <v>ENGINE EXHAUST CYL 5 Right</v>
      </c>
      <c r="E76" s="17" t="str">
        <f>IF(TB_IO!L90=""," ",TB_IO!L90)</f>
        <v xml:space="preserve"> </v>
      </c>
      <c r="F76" s="18"/>
      <c r="G76" s="18"/>
    </row>
    <row r="77" spans="1:7" x14ac:dyDescent="0.2">
      <c r="A77" s="109"/>
      <c r="B77" s="116"/>
      <c r="C77" s="8">
        <f t="shared" si="1"/>
        <v>60</v>
      </c>
      <c r="D77" s="17" t="str">
        <f>IF(TB_IO!B91=""," ",TB_IO!B91)</f>
        <v>ENGINE EXHAUST CYL 6 Right</v>
      </c>
      <c r="E77" s="17" t="str">
        <f>IF(TB_IO!L91=""," ",TB_IO!L91)</f>
        <v xml:space="preserve"> </v>
      </c>
      <c r="F77" s="18"/>
      <c r="G77" s="18"/>
    </row>
    <row r="78" spans="1:7" x14ac:dyDescent="0.2">
      <c r="A78" s="109"/>
      <c r="B78" s="116"/>
      <c r="C78" s="8">
        <f t="shared" si="1"/>
        <v>61</v>
      </c>
      <c r="D78" s="17" t="str">
        <f>IF(TB_IO!B92=""," ",TB_IO!B92)</f>
        <v>ENGINE EXHAUST PRE TURBO Left</v>
      </c>
      <c r="E78" s="17" t="str">
        <f>IF(TB_IO!L92=""," ",TB_IO!L92)</f>
        <v xml:space="preserve"> </v>
      </c>
      <c r="F78" s="18"/>
      <c r="G78" s="18"/>
    </row>
    <row r="79" spans="1:7" x14ac:dyDescent="0.2">
      <c r="A79" s="109"/>
      <c r="B79" s="116"/>
      <c r="C79" s="8">
        <f t="shared" si="1"/>
        <v>62</v>
      </c>
      <c r="D79" s="17" t="str">
        <f>IF(TB_IO!B93=""," ",TB_IO!B93)</f>
        <v>ENGINE EXHAUST PRE TURBO Right</v>
      </c>
      <c r="E79" s="17" t="str">
        <f>IF(TB_IO!L93=""," ",TB_IO!L93)</f>
        <v xml:space="preserve"> </v>
      </c>
      <c r="F79" s="18"/>
      <c r="G79" s="18"/>
    </row>
    <row r="80" spans="1:7" x14ac:dyDescent="0.2">
      <c r="A80" s="109"/>
      <c r="B80" s="116"/>
      <c r="C80" s="8">
        <f t="shared" si="1"/>
        <v>63</v>
      </c>
      <c r="D80" s="17" t="str">
        <f>IF(TB_IO!B94=""," ",TB_IO!B94)</f>
        <v>ENGINE AIR MANIFOLD Left</v>
      </c>
      <c r="E80" s="17" t="str">
        <f>IF(TB_IO!L94=""," ",TB_IO!L94)</f>
        <v xml:space="preserve"> </v>
      </c>
      <c r="F80" s="18"/>
      <c r="G80" s="18"/>
    </row>
    <row r="81" spans="1:7" x14ac:dyDescent="0.2">
      <c r="A81" s="109"/>
      <c r="B81" s="116"/>
      <c r="C81" s="8">
        <f t="shared" si="1"/>
        <v>64</v>
      </c>
      <c r="D81" s="17" t="str">
        <f>IF(TB_IO!B95=""," ",TB_IO!B95)</f>
        <v>ENGINE AIR MANIFOLD Right</v>
      </c>
      <c r="E81" s="17" t="str">
        <f>IF(TB_IO!L95=""," ",TB_IO!L95)</f>
        <v xml:space="preserve"> </v>
      </c>
      <c r="F81" s="18"/>
      <c r="G81" s="18"/>
    </row>
    <row r="82" spans="1:7" hidden="1" x14ac:dyDescent="0.2">
      <c r="A82" s="109"/>
      <c r="B82" s="116"/>
      <c r="C82" s="8">
        <f t="shared" si="1"/>
        <v>65</v>
      </c>
      <c r="D82" s="17" t="str">
        <f>IF(TB_IO!B115=""," ",TB_IO!B115)</f>
        <v xml:space="preserve"> </v>
      </c>
      <c r="E82" s="17" t="str">
        <f>IF(TB_IO!L115=""," ",TB_IO!L115)</f>
        <v xml:space="preserve"> </v>
      </c>
      <c r="F82" s="18"/>
      <c r="G82" s="18"/>
    </row>
    <row r="83" spans="1:7" hidden="1" x14ac:dyDescent="0.2">
      <c r="A83" s="109"/>
      <c r="B83" s="116"/>
      <c r="C83" s="8">
        <f t="shared" si="1"/>
        <v>66</v>
      </c>
      <c r="D83" s="17" t="str">
        <f>IF(TB_IO!B116=""," ",TB_IO!B116)</f>
        <v xml:space="preserve"> </v>
      </c>
      <c r="E83" s="17" t="str">
        <f>IF(TB_IO!L116=""," ",TB_IO!L116)</f>
        <v xml:space="preserve"> </v>
      </c>
      <c r="F83" s="18"/>
      <c r="G83" s="18"/>
    </row>
    <row r="84" spans="1:7" hidden="1" x14ac:dyDescent="0.2">
      <c r="A84" s="109"/>
      <c r="B84" s="116"/>
      <c r="C84" s="8">
        <f t="shared" ref="C84:C147" si="2">C83+1</f>
        <v>67</v>
      </c>
      <c r="D84" s="17" t="str">
        <f>IF(TB_IO!B117=""," ",TB_IO!B117)</f>
        <v xml:space="preserve"> </v>
      </c>
      <c r="E84" s="17" t="str">
        <f>IF(TB_IO!L117=""," ",TB_IO!L117)</f>
        <v xml:space="preserve"> </v>
      </c>
      <c r="F84" s="18"/>
      <c r="G84" s="18"/>
    </row>
    <row r="85" spans="1:7" hidden="1" x14ac:dyDescent="0.2">
      <c r="A85" s="109"/>
      <c r="B85" s="116"/>
      <c r="C85" s="8">
        <f t="shared" si="2"/>
        <v>68</v>
      </c>
      <c r="D85" s="17" t="str">
        <f>IF(TB_IO!B118=""," ",TB_IO!B118)</f>
        <v>SUCTION PRESSURE SWITCH LOW</v>
      </c>
      <c r="E85" s="17" t="str">
        <f>IF(TB_IO!L118=""," ",TB_IO!L118)</f>
        <v xml:space="preserve"> </v>
      </c>
      <c r="F85" s="18"/>
      <c r="G85" s="18"/>
    </row>
    <row r="86" spans="1:7" hidden="1" x14ac:dyDescent="0.2">
      <c r="A86" s="109"/>
      <c r="B86" s="116"/>
      <c r="C86" s="8">
        <f t="shared" si="2"/>
        <v>69</v>
      </c>
      <c r="D86" s="17" t="str">
        <f>IF(TB_IO!B119=""," ",TB_IO!B119)</f>
        <v>STG 1DISCHARGE PRESSURE SWITCH HIGH</v>
      </c>
      <c r="E86" s="17" t="str">
        <f>IF(TB_IO!L119=""," ",TB_IO!L119)</f>
        <v xml:space="preserve"> </v>
      </c>
      <c r="F86" s="18"/>
      <c r="G86" s="18"/>
    </row>
    <row r="87" spans="1:7" hidden="1" x14ac:dyDescent="0.2">
      <c r="A87" s="109"/>
      <c r="B87" s="116"/>
      <c r="C87" s="8">
        <f t="shared" si="2"/>
        <v>70</v>
      </c>
      <c r="D87" s="17" t="str">
        <f>IF(TB_IO!B120=""," ",TB_IO!B120)</f>
        <v>STG 2 DISCHARGE PRESSURE SWITCH HIGH</v>
      </c>
      <c r="E87" s="17" t="str">
        <f>IF(TB_IO!L120=""," ",TB_IO!L120)</f>
        <v xml:space="preserve"> </v>
      </c>
      <c r="F87" s="18"/>
      <c r="G87" s="18"/>
    </row>
    <row r="88" spans="1:7" hidden="1" x14ac:dyDescent="0.2">
      <c r="A88" s="109"/>
      <c r="B88" s="116"/>
      <c r="C88" s="8">
        <f t="shared" si="2"/>
        <v>71</v>
      </c>
      <c r="D88" s="17" t="str">
        <f>IF(TB_IO!B121=""," ",TB_IO!B121)</f>
        <v>COMPRESSOR LUBE OIL PRESSURE LOW SWITCH</v>
      </c>
      <c r="E88" s="17" t="str">
        <f>IF(TB_IO!L121=""," ",TB_IO!L121)</f>
        <v xml:space="preserve"> </v>
      </c>
      <c r="F88" s="18"/>
      <c r="G88" s="18"/>
    </row>
    <row r="89" spans="1:7" hidden="1" x14ac:dyDescent="0.2">
      <c r="A89" s="109"/>
      <c r="B89" s="116"/>
      <c r="C89" s="8">
        <f t="shared" si="2"/>
        <v>72</v>
      </c>
      <c r="D89" s="17" t="str">
        <f>IF(TB_IO!B122=""," ",TB_IO!B122)</f>
        <v>CYLINDER LUBE PRESSURE LOW SWITCH</v>
      </c>
      <c r="E89" s="17" t="str">
        <f>IF(TB_IO!L122=""," ",TB_IO!L122)</f>
        <v xml:space="preserve"> </v>
      </c>
      <c r="F89" s="18"/>
      <c r="G89" s="18"/>
    </row>
    <row r="90" spans="1:7" hidden="1" x14ac:dyDescent="0.2">
      <c r="A90" s="109"/>
      <c r="B90" s="116"/>
      <c r="C90" s="8">
        <f t="shared" si="2"/>
        <v>73</v>
      </c>
      <c r="D90" s="17" t="str">
        <f>IF(TB_IO!B123=""," ",TB_IO!B123)</f>
        <v>ENGINE JACKET WATER FLOW SWITCH</v>
      </c>
      <c r="E90" s="17" t="str">
        <f>IF(TB_IO!L123=""," ",TB_IO!L123)</f>
        <v xml:space="preserve"> </v>
      </c>
      <c r="F90" s="18"/>
      <c r="G90" s="18"/>
    </row>
    <row r="91" spans="1:7" hidden="1" x14ac:dyDescent="0.2">
      <c r="A91" s="109"/>
      <c r="B91" s="116"/>
      <c r="C91" s="8">
        <f t="shared" si="2"/>
        <v>74</v>
      </c>
      <c r="D91" s="17" t="str">
        <f>IF(TB_IO!B124=""," ",TB_IO!B124)</f>
        <v>SPARE</v>
      </c>
      <c r="E91" s="17" t="str">
        <f>IF(TB_IO!L124=""," ",TB_IO!L124)</f>
        <v xml:space="preserve"> </v>
      </c>
      <c r="F91" s="18"/>
      <c r="G91" s="18"/>
    </row>
    <row r="92" spans="1:7" hidden="1" x14ac:dyDescent="0.2">
      <c r="A92" s="109"/>
      <c r="B92" s="116"/>
      <c r="C92" s="8">
        <f t="shared" si="2"/>
        <v>75</v>
      </c>
      <c r="D92" s="17" t="str">
        <f>IF(TB_IO!B125=""," ",TB_IO!B125)</f>
        <v>ENGINE LUBE OIL LEVEL LOW SWITCH</v>
      </c>
      <c r="E92" s="17" t="str">
        <f>IF(TB_IO!L125=""," ",TB_IO!L125)</f>
        <v xml:space="preserve"> </v>
      </c>
      <c r="F92" s="18"/>
      <c r="G92" s="18"/>
    </row>
    <row r="93" spans="1:7" hidden="1" x14ac:dyDescent="0.2">
      <c r="A93" s="109"/>
      <c r="B93" s="116"/>
      <c r="C93" s="8">
        <f t="shared" si="2"/>
        <v>76</v>
      </c>
      <c r="D93" s="17" t="str">
        <f>IF(TB_IO!B126=""," ",TB_IO!B126)</f>
        <v>COMP LUBE OIL LEVEL LOW SWITCH</v>
      </c>
      <c r="E93" s="17" t="str">
        <f>IF(TB_IO!L126=""," ",TB_IO!L126)</f>
        <v xml:space="preserve"> </v>
      </c>
      <c r="F93" s="18"/>
      <c r="G93" s="18"/>
    </row>
    <row r="94" spans="1:7" hidden="1" x14ac:dyDescent="0.2">
      <c r="A94" s="109"/>
      <c r="B94" s="116"/>
      <c r="C94" s="8">
        <f t="shared" si="2"/>
        <v>77</v>
      </c>
      <c r="D94" s="17" t="str">
        <f>IF(TB_IO!B127=""," ",TB_IO!B127)</f>
        <v>STG 1 SCRUBBER LEVEL HIGH SWITCH</v>
      </c>
      <c r="E94" s="17" t="str">
        <f>IF(TB_IO!L127=""," ",TB_IO!L127)</f>
        <v xml:space="preserve"> </v>
      </c>
      <c r="F94" s="18"/>
      <c r="G94" s="18"/>
    </row>
    <row r="95" spans="1:7" hidden="1" x14ac:dyDescent="0.2">
      <c r="A95" s="109"/>
      <c r="B95" s="116"/>
      <c r="C95" s="8">
        <f t="shared" si="2"/>
        <v>78</v>
      </c>
      <c r="D95" s="17" t="str">
        <f>IF(TB_IO!B128=""," ",TB_IO!B128)</f>
        <v>STG2 SCRUBBER LEVEL HIGH SWITCH</v>
      </c>
      <c r="E95" s="17" t="str">
        <f>IF(TB_IO!L128=""," ",TB_IO!L128)</f>
        <v xml:space="preserve"> </v>
      </c>
      <c r="F95" s="18"/>
      <c r="G95" s="18"/>
    </row>
    <row r="96" spans="1:7" hidden="1" x14ac:dyDescent="0.2">
      <c r="A96" s="109"/>
      <c r="B96" s="116"/>
      <c r="C96" s="8">
        <f t="shared" si="2"/>
        <v>79</v>
      </c>
      <c r="D96" s="17" t="str">
        <f>IF(TB_IO!B129=""," ",TB_IO!B129)</f>
        <v>SPARE</v>
      </c>
      <c r="E96" s="17" t="str">
        <f>IF(TB_IO!L129=""," ",TB_IO!L129)</f>
        <v xml:space="preserve"> </v>
      </c>
      <c r="F96" s="18"/>
      <c r="G96" s="18"/>
    </row>
    <row r="97" spans="1:7" hidden="1" x14ac:dyDescent="0.2">
      <c r="A97" s="109"/>
      <c r="B97" s="116"/>
      <c r="C97" s="8">
        <f t="shared" si="2"/>
        <v>80</v>
      </c>
      <c r="D97" s="17" t="str">
        <f>IF(TB_IO!B130=""," ",TB_IO!B130)</f>
        <v>SPARE</v>
      </c>
      <c r="E97" s="17" t="str">
        <f>IF(TB_IO!L130=""," ",TB_IO!L130)</f>
        <v xml:space="preserve"> </v>
      </c>
      <c r="F97" s="18"/>
      <c r="G97" s="18"/>
    </row>
    <row r="98" spans="1:7" hidden="1" x14ac:dyDescent="0.2">
      <c r="A98" s="109"/>
      <c r="B98" s="116"/>
      <c r="C98" s="8">
        <f t="shared" si="2"/>
        <v>81</v>
      </c>
      <c r="D98" s="17" t="str">
        <f>IF(TB_IO!B131=""," ",TB_IO!B131)</f>
        <v>LUBE NO FLOW CPI FSLL</v>
      </c>
      <c r="E98" s="17" t="str">
        <f>IF(TB_IO!L131=""," ",TB_IO!L131)</f>
        <v xml:space="preserve"> </v>
      </c>
      <c r="F98" s="18"/>
      <c r="G98" s="18"/>
    </row>
    <row r="99" spans="1:7" hidden="1" x14ac:dyDescent="0.2">
      <c r="A99" s="109"/>
      <c r="B99" s="116"/>
      <c r="C99" s="8">
        <f t="shared" si="2"/>
        <v>82</v>
      </c>
      <c r="D99" s="17" t="str">
        <f>IF(TB_IO!B132=""," ",TB_IO!B132)</f>
        <v>SPARE</v>
      </c>
      <c r="E99" s="17" t="str">
        <f>IF(TB_IO!L132=""," ",TB_IO!L132)</f>
        <v xml:space="preserve"> </v>
      </c>
      <c r="F99" s="18"/>
      <c r="G99" s="18"/>
    </row>
    <row r="100" spans="1:7" hidden="1" x14ac:dyDescent="0.2">
      <c r="A100" s="109"/>
      <c r="B100" s="116"/>
      <c r="C100" s="8">
        <f t="shared" si="2"/>
        <v>83</v>
      </c>
      <c r="D100" s="17" t="str">
        <f>IF(TB_IO!B133=""," ",TB_IO!B133)</f>
        <v>SPARE</v>
      </c>
      <c r="E100" s="17" t="str">
        <f>IF(TB_IO!L133=""," ",TB_IO!L133)</f>
        <v xml:space="preserve"> </v>
      </c>
      <c r="F100" s="18"/>
      <c r="G100" s="18"/>
    </row>
    <row r="101" spans="1:7" hidden="1" x14ac:dyDescent="0.2">
      <c r="A101" s="109"/>
      <c r="B101" s="116"/>
      <c r="C101" s="8">
        <f t="shared" si="2"/>
        <v>84</v>
      </c>
      <c r="D101" s="17" t="str">
        <f>IF(TB_IO!B134=""," ",TB_IO!B134)</f>
        <v>IGNITION FAULT</v>
      </c>
      <c r="E101" s="17" t="str">
        <f>IF(TB_IO!L134=""," ",TB_IO!L134)</f>
        <v xml:space="preserve"> </v>
      </c>
      <c r="F101" s="18"/>
      <c r="G101" s="18"/>
    </row>
    <row r="102" spans="1:7" hidden="1" x14ac:dyDescent="0.2">
      <c r="A102" s="109"/>
      <c r="B102" s="116"/>
      <c r="C102" s="8">
        <f t="shared" si="2"/>
        <v>85</v>
      </c>
      <c r="D102" s="17" t="str">
        <f>IF(TB_IO!B135=""," ",TB_IO!B135)</f>
        <v>COMPRESSOR CYLINDER VIBRATION #1</v>
      </c>
      <c r="E102" s="17" t="str">
        <f>IF(TB_IO!L135=""," ",TB_IO!L135)</f>
        <v xml:space="preserve"> </v>
      </c>
      <c r="F102" s="18"/>
      <c r="G102" s="18"/>
    </row>
    <row r="103" spans="1:7" hidden="1" x14ac:dyDescent="0.2">
      <c r="A103" s="109"/>
      <c r="B103" s="116"/>
      <c r="C103" s="8">
        <f t="shared" si="2"/>
        <v>86</v>
      </c>
      <c r="D103" s="17" t="str">
        <f>IF(TB_IO!B136=""," ",TB_IO!B136)</f>
        <v>COMPRESSOR CYLINDER VIBRATION #2</v>
      </c>
      <c r="E103" s="17" t="str">
        <f>IF(TB_IO!L136=""," ",TB_IO!L136)</f>
        <v xml:space="preserve"> </v>
      </c>
      <c r="F103" s="18"/>
      <c r="G103" s="18"/>
    </row>
    <row r="104" spans="1:7" hidden="1" x14ac:dyDescent="0.2">
      <c r="A104" s="109"/>
      <c r="B104" s="116"/>
      <c r="C104" s="8">
        <f t="shared" si="2"/>
        <v>87</v>
      </c>
      <c r="D104" s="17" t="str">
        <f>IF(TB_IO!B137=""," ",TB_IO!B137)</f>
        <v>COMPRESSOR COOLER VIBRATION #1</v>
      </c>
      <c r="E104" s="17" t="str">
        <f>IF(TB_IO!L137=""," ",TB_IO!L137)</f>
        <v xml:space="preserve"> </v>
      </c>
      <c r="F104" s="18"/>
      <c r="G104" s="18"/>
    </row>
    <row r="105" spans="1:7" hidden="1" x14ac:dyDescent="0.2">
      <c r="A105" s="109"/>
      <c r="B105" s="116"/>
      <c r="C105" s="8">
        <f t="shared" si="2"/>
        <v>88</v>
      </c>
      <c r="D105" s="17" t="str">
        <f>IF(TB_IO!B138=""," ",TB_IO!B138)</f>
        <v>COMPRESSOR COOLER VIBRATION#2</v>
      </c>
      <c r="E105" s="17" t="str">
        <f>IF(TB_IO!L138=""," ",TB_IO!L138)</f>
        <v xml:space="preserve"> </v>
      </c>
      <c r="F105" s="18"/>
      <c r="G105" s="18"/>
    </row>
    <row r="106" spans="1:7" hidden="1" x14ac:dyDescent="0.2">
      <c r="A106" s="109"/>
      <c r="B106" s="116"/>
      <c r="C106" s="8">
        <f t="shared" si="2"/>
        <v>89</v>
      </c>
      <c r="D106" s="17" t="str">
        <f>IF(TB_IO!B139=""," ",TB_IO!B139)</f>
        <v>SPARE</v>
      </c>
      <c r="E106" s="17" t="str">
        <f>IF(TB_IO!L139=""," ",TB_IO!L139)</f>
        <v xml:space="preserve"> </v>
      </c>
      <c r="F106" s="18"/>
      <c r="G106" s="18"/>
    </row>
    <row r="107" spans="1:7" hidden="1" x14ac:dyDescent="0.2">
      <c r="A107" s="109"/>
      <c r="B107" s="116"/>
      <c r="C107" s="8">
        <f t="shared" si="2"/>
        <v>90</v>
      </c>
      <c r="D107" s="17" t="str">
        <f>IF(TB_IO!B140=""," ",TB_IO!B140)</f>
        <v>SPARE</v>
      </c>
      <c r="E107" s="17" t="str">
        <f>IF(TB_IO!L140=""," ",TB_IO!L140)</f>
        <v xml:space="preserve"> </v>
      </c>
      <c r="F107" s="18"/>
      <c r="G107" s="18"/>
    </row>
    <row r="108" spans="1:7" hidden="1" x14ac:dyDescent="0.2">
      <c r="A108" s="109"/>
      <c r="B108" s="116"/>
      <c r="C108" s="8">
        <f t="shared" si="2"/>
        <v>91</v>
      </c>
      <c r="D108" s="17" t="str">
        <f>IF(TB_IO!B141=""," ",TB_IO!B141)</f>
        <v>SPARE</v>
      </c>
      <c r="E108" s="17" t="str">
        <f>IF(TB_IO!L141=""," ",TB_IO!L141)</f>
        <v xml:space="preserve"> </v>
      </c>
      <c r="F108" s="18"/>
      <c r="G108" s="18"/>
    </row>
    <row r="109" spans="1:7" hidden="1" x14ac:dyDescent="0.2">
      <c r="A109" s="109"/>
      <c r="B109" s="116"/>
      <c r="C109" s="8">
        <f t="shared" si="2"/>
        <v>92</v>
      </c>
      <c r="D109" s="17" t="str">
        <f>IF(TB_IO!B142=""," ",TB_IO!B142)</f>
        <v>SPARE</v>
      </c>
      <c r="E109" s="17" t="str">
        <f>IF(TB_IO!L142=""," ",TB_IO!L142)</f>
        <v xml:space="preserve"> </v>
      </c>
      <c r="F109" s="18"/>
      <c r="G109" s="18"/>
    </row>
    <row r="110" spans="1:7" hidden="1" x14ac:dyDescent="0.2">
      <c r="A110" s="109"/>
      <c r="B110" s="116"/>
      <c r="C110" s="8">
        <f t="shared" si="2"/>
        <v>93</v>
      </c>
      <c r="D110" s="17" t="str">
        <f>IF(TB_IO!B143=""," ",TB_IO!B143)</f>
        <v>SPARE</v>
      </c>
      <c r="E110" s="17" t="str">
        <f>IF(TB_IO!L143=""," ",TB_IO!L143)</f>
        <v xml:space="preserve"> </v>
      </c>
      <c r="F110" s="18"/>
      <c r="G110" s="18"/>
    </row>
    <row r="111" spans="1:7" hidden="1" x14ac:dyDescent="0.2">
      <c r="A111" s="109"/>
      <c r="B111" s="116"/>
      <c r="C111" s="8">
        <f t="shared" si="2"/>
        <v>94</v>
      </c>
      <c r="D111" s="17" t="str">
        <f>IF(TB_IO!B144=""," ",TB_IO!B144)</f>
        <v>SPARE</v>
      </c>
      <c r="E111" s="17" t="str">
        <f>IF(TB_IO!L144=""," ",TB_IO!L144)</f>
        <v xml:space="preserve"> </v>
      </c>
      <c r="F111" s="18"/>
      <c r="G111" s="18"/>
    </row>
    <row r="112" spans="1:7" hidden="1" x14ac:dyDescent="0.2">
      <c r="A112" s="109"/>
      <c r="B112" s="116"/>
      <c r="C112" s="8">
        <f t="shared" si="2"/>
        <v>95</v>
      </c>
      <c r="D112" s="17" t="str">
        <f>IF(TB_IO!B145=""," ",TB_IO!B145)</f>
        <v>REMOTE ESD</v>
      </c>
      <c r="E112" s="17" t="str">
        <f>IF(TB_IO!L145=""," ",TB_IO!L145)</f>
        <v xml:space="preserve"> </v>
      </c>
      <c r="F112" s="18"/>
      <c r="G112" s="18"/>
    </row>
    <row r="113" spans="1:7" hidden="1" x14ac:dyDescent="0.2">
      <c r="A113" s="109"/>
      <c r="B113" s="116"/>
      <c r="C113" s="8">
        <f t="shared" si="2"/>
        <v>96</v>
      </c>
      <c r="D113" s="17" t="str">
        <f>IF(TB_IO!B146=""," ",TB_IO!B146)</f>
        <v>PANEL EMERGENCY STOP</v>
      </c>
      <c r="E113" s="17" t="str">
        <f>IF(TB_IO!L146=""," ",TB_IO!L146)</f>
        <v xml:space="preserve"> </v>
      </c>
      <c r="F113" s="18"/>
      <c r="G113" s="18"/>
    </row>
    <row r="114" spans="1:7" hidden="1" x14ac:dyDescent="0.2">
      <c r="A114" s="109"/>
      <c r="B114" s="116"/>
      <c r="C114" s="8">
        <f t="shared" si="2"/>
        <v>97</v>
      </c>
      <c r="D114" s="17" t="str">
        <f>IF(TB_IO!B166=""," ",TB_IO!B166)</f>
        <v>Pre-Turbo Flywheel Exhaust Temp</v>
      </c>
      <c r="E114" s="17" t="str">
        <f>IF(TB_IO!L166=""," ",TB_IO!L166)</f>
        <v xml:space="preserve"> </v>
      </c>
      <c r="F114" s="18"/>
      <c r="G114" s="18"/>
    </row>
    <row r="115" spans="1:7" hidden="1" x14ac:dyDescent="0.2">
      <c r="A115" s="109"/>
      <c r="B115" s="116"/>
      <c r="C115" s="8">
        <f t="shared" si="2"/>
        <v>98</v>
      </c>
      <c r="D115" s="17" t="str">
        <f>IF(TB_IO!B167=""," ",TB_IO!B167)</f>
        <v>Post Turbo Flywheel Exhaust Temp</v>
      </c>
      <c r="E115" s="17" t="str">
        <f>IF(TB_IO!L167=""," ",TB_IO!L167)</f>
        <v xml:space="preserve"> </v>
      </c>
      <c r="F115" s="18"/>
      <c r="G115" s="18"/>
    </row>
    <row r="116" spans="1:7" hidden="1" x14ac:dyDescent="0.2">
      <c r="A116" s="109"/>
      <c r="B116" s="116"/>
      <c r="C116" s="8">
        <f t="shared" si="2"/>
        <v>99</v>
      </c>
      <c r="D116" s="17" t="str">
        <f>IF(TB_IO!B168=""," ",TB_IO!B168)</f>
        <v>Pre-Turbo Aux End Exhaust Temp</v>
      </c>
      <c r="E116" s="17" t="str">
        <f>IF(TB_IO!L168=""," ",TB_IO!L168)</f>
        <v xml:space="preserve"> </v>
      </c>
      <c r="F116" s="18"/>
      <c r="G116" s="18"/>
    </row>
    <row r="117" spans="1:7" hidden="1" x14ac:dyDescent="0.2">
      <c r="A117" s="109"/>
      <c r="B117" s="116"/>
      <c r="C117" s="8">
        <f t="shared" si="2"/>
        <v>100</v>
      </c>
      <c r="D117" s="17" t="str">
        <f>IF(TB_IO!B169=""," ",TB_IO!B169)</f>
        <v>Post Turbo Aux End Exhaust Temp</v>
      </c>
      <c r="E117" s="17" t="str">
        <f>IF(TB_IO!L169=""," ",TB_IO!L169)</f>
        <v xml:space="preserve"> </v>
      </c>
      <c r="F117" s="18"/>
      <c r="G117" s="18"/>
    </row>
    <row r="118" spans="1:7" hidden="1" x14ac:dyDescent="0.2">
      <c r="A118" s="109"/>
      <c r="B118" s="116"/>
      <c r="C118" s="8">
        <f t="shared" si="2"/>
        <v>101</v>
      </c>
      <c r="D118" s="17" t="str">
        <f>IF(TB_IO!B170=""," ",TB_IO!B170)</f>
        <v>Engine Bearing 1 Temp</v>
      </c>
      <c r="E118" s="17" t="str">
        <f>IF(TB_IO!L170=""," ",TB_IO!L170)</f>
        <v xml:space="preserve"> </v>
      </c>
      <c r="F118" s="18"/>
      <c r="G118" s="18"/>
    </row>
    <row r="119" spans="1:7" hidden="1" x14ac:dyDescent="0.2">
      <c r="A119" s="109"/>
      <c r="B119" s="116"/>
      <c r="C119" s="8">
        <f t="shared" si="2"/>
        <v>102</v>
      </c>
      <c r="D119" s="17" t="str">
        <f>IF(TB_IO!B171=""," ",TB_IO!B171)</f>
        <v>Engine Bearing 2 Temp</v>
      </c>
      <c r="E119" s="17" t="str">
        <f>IF(TB_IO!L171=""," ",TB_IO!L171)</f>
        <v xml:space="preserve"> </v>
      </c>
      <c r="F119" s="18"/>
      <c r="G119" s="18"/>
    </row>
    <row r="120" spans="1:7" hidden="1" x14ac:dyDescent="0.2">
      <c r="A120" s="109"/>
      <c r="B120" s="116"/>
      <c r="C120" s="8">
        <f t="shared" si="2"/>
        <v>103</v>
      </c>
      <c r="D120" s="17" t="str">
        <f>IF(TB_IO!B172=""," ",TB_IO!B172)</f>
        <v>Engine Bearing 3 Temp</v>
      </c>
      <c r="E120" s="17" t="str">
        <f>IF(TB_IO!L172=""," ",TB_IO!L172)</f>
        <v xml:space="preserve"> </v>
      </c>
      <c r="F120" s="18"/>
      <c r="G120" s="18"/>
    </row>
    <row r="121" spans="1:7" hidden="1" x14ac:dyDescent="0.2">
      <c r="A121" s="109"/>
      <c r="B121" s="116"/>
      <c r="C121" s="8">
        <f t="shared" si="2"/>
        <v>104</v>
      </c>
      <c r="D121" s="17" t="str">
        <f>IF(TB_IO!B173=""," ",TB_IO!B173)</f>
        <v>Engine Bearing 4 Temp</v>
      </c>
      <c r="E121" s="17" t="str">
        <f>IF(TB_IO!L173=""," ",TB_IO!L173)</f>
        <v xml:space="preserve"> </v>
      </c>
      <c r="F121" s="18"/>
      <c r="G121" s="18"/>
    </row>
    <row r="122" spans="1:7" hidden="1" x14ac:dyDescent="0.2">
      <c r="A122" s="109"/>
      <c r="B122" s="116"/>
      <c r="C122" s="8">
        <f t="shared" si="2"/>
        <v>105</v>
      </c>
      <c r="D122" s="17" t="str">
        <f>IF(TB_IO!B174=""," ",TB_IO!B174)</f>
        <v>Engine Bearing 5 Temp</v>
      </c>
      <c r="E122" s="17" t="str">
        <f>IF(TB_IO!L174=""," ",TB_IO!L174)</f>
        <v xml:space="preserve"> </v>
      </c>
      <c r="F122" s="18"/>
      <c r="G122" s="18"/>
    </row>
    <row r="123" spans="1:7" hidden="1" x14ac:dyDescent="0.2">
      <c r="A123" s="109"/>
      <c r="B123" s="116"/>
      <c r="C123" s="8">
        <f t="shared" si="2"/>
        <v>106</v>
      </c>
      <c r="D123" s="17" t="str">
        <f>IF(TB_IO!B175=""," ",TB_IO!B175)</f>
        <v>Engine Bearing 6 Temp</v>
      </c>
      <c r="E123" s="17" t="str">
        <f>IF(TB_IO!L175=""," ",TB_IO!L175)</f>
        <v xml:space="preserve"> </v>
      </c>
      <c r="F123" s="18"/>
      <c r="G123" s="18"/>
    </row>
    <row r="124" spans="1:7" hidden="1" x14ac:dyDescent="0.2">
      <c r="A124" s="109"/>
      <c r="B124" s="116"/>
      <c r="C124" s="8">
        <f t="shared" si="2"/>
        <v>107</v>
      </c>
      <c r="D124" s="17" t="str">
        <f>IF(TB_IO!B176=""," ",TB_IO!B176)</f>
        <v>Engine Bearing 7 Temp</v>
      </c>
      <c r="E124" s="17" t="str">
        <f>IF(TB_IO!L176=""," ",TB_IO!L176)</f>
        <v xml:space="preserve"> </v>
      </c>
      <c r="F124" s="18"/>
      <c r="G124" s="18"/>
    </row>
    <row r="125" spans="1:7" hidden="1" x14ac:dyDescent="0.2">
      <c r="A125" s="109"/>
      <c r="B125" s="116"/>
      <c r="C125" s="8">
        <f t="shared" si="2"/>
        <v>108</v>
      </c>
      <c r="D125" s="17" t="str">
        <f>IF(TB_IO!B177=""," ",TB_IO!B177)</f>
        <v>Engine Bearing 8 Temp</v>
      </c>
      <c r="E125" s="17" t="str">
        <f>IF(TB_IO!L177=""," ",TB_IO!L177)</f>
        <v xml:space="preserve"> </v>
      </c>
      <c r="F125" s="18"/>
      <c r="G125" s="18"/>
    </row>
    <row r="126" spans="1:7" hidden="1" x14ac:dyDescent="0.2">
      <c r="A126" s="109"/>
      <c r="B126" s="116"/>
      <c r="C126" s="8">
        <f t="shared" si="2"/>
        <v>109</v>
      </c>
      <c r="D126" s="17" t="str">
        <f>IF(TB_IO!B178=""," ",TB_IO!B178)</f>
        <v>Engine Bearing 9 Temp</v>
      </c>
      <c r="E126" s="17" t="str">
        <f>IF(TB_IO!L178=""," ",TB_IO!L178)</f>
        <v xml:space="preserve"> </v>
      </c>
      <c r="F126" s="18"/>
      <c r="G126" s="18"/>
    </row>
    <row r="127" spans="1:7" hidden="1" x14ac:dyDescent="0.2">
      <c r="A127" s="109"/>
      <c r="B127" s="116"/>
      <c r="C127" s="8">
        <f t="shared" si="2"/>
        <v>110</v>
      </c>
      <c r="D127" s="17" t="str">
        <f>IF(TB_IO!B179=""," ",TB_IO!B179)</f>
        <v xml:space="preserve"> </v>
      </c>
      <c r="E127" s="17" t="str">
        <f>IF(TB_IO!L179=""," ",TB_IO!L179)</f>
        <v xml:space="preserve"> </v>
      </c>
      <c r="F127" s="18"/>
      <c r="G127" s="18"/>
    </row>
    <row r="128" spans="1:7" hidden="1" x14ac:dyDescent="0.2">
      <c r="A128" s="109"/>
      <c r="B128" s="116"/>
      <c r="C128" s="8">
        <f t="shared" si="2"/>
        <v>111</v>
      </c>
      <c r="D128" s="17" t="str">
        <f>IF(TB_IO!B180=""," ",TB_IO!B180)</f>
        <v xml:space="preserve"> </v>
      </c>
      <c r="E128" s="17" t="str">
        <f>IF(TB_IO!L180=""," ",TB_IO!L180)</f>
        <v xml:space="preserve"> </v>
      </c>
      <c r="F128" s="18"/>
      <c r="G128" s="18"/>
    </row>
    <row r="129" spans="1:7" hidden="1" x14ac:dyDescent="0.2">
      <c r="A129" s="109"/>
      <c r="B129" s="116"/>
      <c r="C129" s="8">
        <f t="shared" si="2"/>
        <v>112</v>
      </c>
      <c r="D129" s="17" t="str">
        <f>IF(TB_IO!B181=""," ",TB_IO!B181)</f>
        <v xml:space="preserve"> </v>
      </c>
      <c r="E129" s="17" t="str">
        <f>IF(TB_IO!L181=""," ",TB_IO!L181)</f>
        <v xml:space="preserve"> </v>
      </c>
      <c r="F129" s="18"/>
      <c r="G129" s="18"/>
    </row>
    <row r="130" spans="1:7" hidden="1" x14ac:dyDescent="0.2">
      <c r="A130" s="109"/>
      <c r="B130" s="116"/>
      <c r="C130" s="8">
        <f t="shared" si="2"/>
        <v>113</v>
      </c>
      <c r="D130" s="17" t="str">
        <f>IF(TB_IO!B182=""," ",TB_IO!B182)</f>
        <v xml:space="preserve"> </v>
      </c>
      <c r="E130" s="17" t="str">
        <f>IF(TB_IO!L182=""," ",TB_IO!L182)</f>
        <v xml:space="preserve"> </v>
      </c>
      <c r="F130" s="18"/>
      <c r="G130" s="18"/>
    </row>
    <row r="131" spans="1:7" hidden="1" x14ac:dyDescent="0.2">
      <c r="A131" s="109"/>
      <c r="B131" s="116"/>
      <c r="C131" s="8">
        <f t="shared" si="2"/>
        <v>114</v>
      </c>
      <c r="D131" s="17" t="str">
        <f>IF(TB_IO!B183=""," ",TB_IO!B183)</f>
        <v xml:space="preserve"> </v>
      </c>
      <c r="E131" s="17" t="str">
        <f>IF(TB_IO!L183=""," ",TB_IO!L183)</f>
        <v xml:space="preserve"> </v>
      </c>
      <c r="F131" s="18"/>
      <c r="G131" s="18"/>
    </row>
    <row r="132" spans="1:7" hidden="1" x14ac:dyDescent="0.2">
      <c r="A132" s="109"/>
      <c r="B132" s="116"/>
      <c r="C132" s="8">
        <f t="shared" si="2"/>
        <v>115</v>
      </c>
      <c r="D132" s="17" t="str">
        <f>IF(TB_IO!B184=""," ",TB_IO!B184)</f>
        <v xml:space="preserve"> </v>
      </c>
      <c r="E132" s="17" t="str">
        <f>IF(TB_IO!L184=""," ",TB_IO!L184)</f>
        <v xml:space="preserve"> </v>
      </c>
      <c r="F132" s="18"/>
      <c r="G132" s="18"/>
    </row>
    <row r="133" spans="1:7" hidden="1" x14ac:dyDescent="0.2">
      <c r="A133" s="109"/>
      <c r="B133" s="116"/>
      <c r="C133" s="8">
        <f t="shared" si="2"/>
        <v>116</v>
      </c>
      <c r="D133" s="17" t="str">
        <f>IF(TB_IO!B185=""," ",TB_IO!B185)</f>
        <v xml:space="preserve"> </v>
      </c>
      <c r="E133" s="17" t="str">
        <f>IF(TB_IO!L185=""," ",TB_IO!L185)</f>
        <v xml:space="preserve"> </v>
      </c>
      <c r="F133" s="18"/>
      <c r="G133" s="18"/>
    </row>
    <row r="134" spans="1:7" hidden="1" x14ac:dyDescent="0.2">
      <c r="A134" s="109"/>
      <c r="B134" s="116"/>
      <c r="C134" s="8">
        <f t="shared" si="2"/>
        <v>117</v>
      </c>
      <c r="D134" s="17" t="str">
        <f>IF(TB_IO!B186=""," ",TB_IO!B186)</f>
        <v xml:space="preserve"> </v>
      </c>
      <c r="E134" s="17" t="str">
        <f>IF(TB_IO!L186=""," ",TB_IO!L186)</f>
        <v xml:space="preserve"> </v>
      </c>
      <c r="F134" s="18"/>
      <c r="G134" s="18"/>
    </row>
    <row r="135" spans="1:7" hidden="1" x14ac:dyDescent="0.2">
      <c r="A135" s="109"/>
      <c r="B135" s="116"/>
      <c r="C135" s="8">
        <f t="shared" si="2"/>
        <v>118</v>
      </c>
      <c r="D135" s="17" t="str">
        <f>IF(TB_IO!B187=""," ",TB_IO!B187)</f>
        <v xml:space="preserve"> </v>
      </c>
      <c r="E135" s="17" t="str">
        <f>IF(TB_IO!L187=""," ",TB_IO!L187)</f>
        <v xml:space="preserve"> </v>
      </c>
      <c r="F135" s="18"/>
      <c r="G135" s="18"/>
    </row>
    <row r="136" spans="1:7" hidden="1" x14ac:dyDescent="0.2">
      <c r="A136" s="109"/>
      <c r="B136" s="116"/>
      <c r="C136" s="8">
        <f t="shared" si="2"/>
        <v>119</v>
      </c>
      <c r="D136" s="17" t="str">
        <f>IF(TB_IO!B188=""," ",TB_IO!B188)</f>
        <v xml:space="preserve"> </v>
      </c>
      <c r="E136" s="17" t="str">
        <f>IF(TB_IO!L188=""," ",TB_IO!L188)</f>
        <v xml:space="preserve"> </v>
      </c>
      <c r="F136" s="18"/>
      <c r="G136" s="18"/>
    </row>
    <row r="137" spans="1:7" hidden="1" x14ac:dyDescent="0.2">
      <c r="A137" s="109"/>
      <c r="B137" s="116"/>
      <c r="C137" s="8">
        <f t="shared" si="2"/>
        <v>120</v>
      </c>
      <c r="D137" s="17" t="str">
        <f>IF(TB_IO!B189=""," ",TB_IO!B189)</f>
        <v xml:space="preserve"> </v>
      </c>
      <c r="E137" s="17" t="str">
        <f>IF(TB_IO!L189=""," ",TB_IO!L189)</f>
        <v xml:space="preserve"> </v>
      </c>
      <c r="F137" s="18"/>
      <c r="G137" s="18"/>
    </row>
    <row r="138" spans="1:7" hidden="1" x14ac:dyDescent="0.2">
      <c r="A138" s="109"/>
      <c r="B138" s="116"/>
      <c r="C138" s="8">
        <f t="shared" si="2"/>
        <v>121</v>
      </c>
      <c r="D138" s="17" t="str">
        <f>IF(TB_IO!B190=""," ",TB_IO!B190)</f>
        <v xml:space="preserve"> </v>
      </c>
      <c r="E138" s="17" t="str">
        <f>IF(TB_IO!L190=""," ",TB_IO!L190)</f>
        <v xml:space="preserve"> </v>
      </c>
      <c r="F138" s="18"/>
      <c r="G138" s="18"/>
    </row>
    <row r="139" spans="1:7" hidden="1" x14ac:dyDescent="0.2">
      <c r="A139" s="109"/>
      <c r="B139" s="116"/>
      <c r="C139" s="8">
        <f t="shared" si="2"/>
        <v>122</v>
      </c>
      <c r="D139" s="17" t="str">
        <f>IF(TB_IO!B191=""," ",TB_IO!B191)</f>
        <v xml:space="preserve"> </v>
      </c>
      <c r="E139" s="17" t="str">
        <f>IF(TB_IO!L191=""," ",TB_IO!L191)</f>
        <v xml:space="preserve"> </v>
      </c>
      <c r="F139" s="18"/>
      <c r="G139" s="18"/>
    </row>
    <row r="140" spans="1:7" hidden="1" x14ac:dyDescent="0.2">
      <c r="A140" s="109"/>
      <c r="B140" s="116"/>
      <c r="C140" s="8">
        <f t="shared" si="2"/>
        <v>123</v>
      </c>
      <c r="D140" s="17" t="str">
        <f>IF(TB_IO!B192=""," ",TB_IO!B192)</f>
        <v xml:space="preserve"> </v>
      </c>
      <c r="E140" s="17" t="str">
        <f>IF(TB_IO!L192=""," ",TB_IO!L192)</f>
        <v xml:space="preserve"> </v>
      </c>
      <c r="F140" s="18"/>
      <c r="G140" s="18"/>
    </row>
    <row r="141" spans="1:7" hidden="1" x14ac:dyDescent="0.2">
      <c r="A141" s="109"/>
      <c r="B141" s="116"/>
      <c r="C141" s="8">
        <f t="shared" si="2"/>
        <v>124</v>
      </c>
      <c r="D141" s="17" t="str">
        <f>IF(TB_IO!B193=""," ",TB_IO!B193)</f>
        <v xml:space="preserve"> </v>
      </c>
      <c r="E141" s="17" t="str">
        <f>IF(TB_IO!L193=""," ",TB_IO!L193)</f>
        <v xml:space="preserve"> </v>
      </c>
      <c r="F141" s="18"/>
      <c r="G141" s="18"/>
    </row>
    <row r="142" spans="1:7" hidden="1" x14ac:dyDescent="0.2">
      <c r="A142" s="109"/>
      <c r="B142" s="116"/>
      <c r="C142" s="8">
        <f t="shared" si="2"/>
        <v>125</v>
      </c>
      <c r="D142" s="17" t="str">
        <f>IF(TB_IO!B194=""," ",TB_IO!B194)</f>
        <v xml:space="preserve"> </v>
      </c>
      <c r="E142" s="17" t="str">
        <f>IF(TB_IO!L194=""," ",TB_IO!L194)</f>
        <v xml:space="preserve"> </v>
      </c>
      <c r="F142" s="18"/>
      <c r="G142" s="18"/>
    </row>
    <row r="143" spans="1:7" hidden="1" x14ac:dyDescent="0.2">
      <c r="A143" s="109"/>
      <c r="B143" s="116"/>
      <c r="C143" s="8">
        <f t="shared" si="2"/>
        <v>126</v>
      </c>
      <c r="D143" s="17" t="str">
        <f>IF(TB_IO!B195=""," ",TB_IO!B195)</f>
        <v xml:space="preserve"> </v>
      </c>
      <c r="E143" s="17" t="str">
        <f>IF(TB_IO!L195=""," ",TB_IO!L195)</f>
        <v xml:space="preserve"> </v>
      </c>
      <c r="F143" s="18"/>
      <c r="G143" s="18"/>
    </row>
    <row r="144" spans="1:7" hidden="1" x14ac:dyDescent="0.2">
      <c r="A144" s="109"/>
      <c r="B144" s="116"/>
      <c r="C144" s="8">
        <f t="shared" si="2"/>
        <v>127</v>
      </c>
      <c r="D144" s="17" t="str">
        <f>IF(TB_IO!B196=""," ",TB_IO!B196)</f>
        <v xml:space="preserve"> </v>
      </c>
      <c r="E144" s="17" t="str">
        <f>IF(TB_IO!L196=""," ",TB_IO!L196)</f>
        <v xml:space="preserve"> </v>
      </c>
      <c r="F144" s="18"/>
      <c r="G144" s="18"/>
    </row>
    <row r="145" spans="1:7" hidden="1" x14ac:dyDescent="0.2">
      <c r="A145" s="109"/>
      <c r="B145" s="116"/>
      <c r="C145" s="8">
        <f t="shared" si="2"/>
        <v>128</v>
      </c>
      <c r="D145" s="17" t="str">
        <f>IF(TB_IO!B197=""," ",TB_IO!B197)</f>
        <v xml:space="preserve"> </v>
      </c>
      <c r="E145" s="17" t="str">
        <f>IF(TB_IO!L197=""," ",TB_IO!L197)</f>
        <v xml:space="preserve"> </v>
      </c>
      <c r="F145" s="18"/>
      <c r="G145" s="18"/>
    </row>
    <row r="146" spans="1:7" hidden="1" x14ac:dyDescent="0.2">
      <c r="A146" s="109"/>
      <c r="B146" s="116"/>
      <c r="C146" s="8">
        <f t="shared" si="2"/>
        <v>129</v>
      </c>
      <c r="D146" s="17" t="str">
        <f>IF(TB_IO!B217=""," ",TB_IO!B217)</f>
        <v xml:space="preserve"> </v>
      </c>
      <c r="E146" s="17" t="str">
        <f>IF(TB_IO!L217=""," ",TB_IO!L217)</f>
        <v xml:space="preserve"> </v>
      </c>
      <c r="F146" s="18"/>
      <c r="G146" s="18"/>
    </row>
    <row r="147" spans="1:7" hidden="1" x14ac:dyDescent="0.2">
      <c r="A147" s="109"/>
      <c r="B147" s="116"/>
      <c r="C147" s="8">
        <f t="shared" si="2"/>
        <v>130</v>
      </c>
      <c r="D147" s="17" t="str">
        <f>IF(TB_IO!B218=""," ",TB_IO!B218)</f>
        <v xml:space="preserve"> </v>
      </c>
      <c r="E147" s="17" t="str">
        <f>IF(TB_IO!L218=""," ",TB_IO!L218)</f>
        <v xml:space="preserve"> </v>
      </c>
      <c r="F147" s="18"/>
      <c r="G147" s="18"/>
    </row>
    <row r="148" spans="1:7" hidden="1" x14ac:dyDescent="0.2">
      <c r="A148" s="109"/>
      <c r="B148" s="116"/>
      <c r="C148" s="8">
        <f t="shared" ref="C148:C177" si="3">C147+1</f>
        <v>131</v>
      </c>
      <c r="D148" s="17" t="str">
        <f>IF(TB_IO!B219=""," ",TB_IO!B219)</f>
        <v xml:space="preserve"> </v>
      </c>
      <c r="E148" s="17" t="str">
        <f>IF(TB_IO!L219=""," ",TB_IO!L219)</f>
        <v xml:space="preserve"> </v>
      </c>
      <c r="F148" s="18"/>
      <c r="G148" s="18"/>
    </row>
    <row r="149" spans="1:7" hidden="1" x14ac:dyDescent="0.2">
      <c r="A149" s="109"/>
      <c r="B149" s="116"/>
      <c r="C149" s="8">
        <f t="shared" si="3"/>
        <v>132</v>
      </c>
      <c r="D149" s="17" t="str">
        <f>IF(TB_IO!B220=""," ",TB_IO!B220)</f>
        <v xml:space="preserve"> </v>
      </c>
      <c r="E149" s="17" t="str">
        <f>IF(TB_IO!L220=""," ",TB_IO!L220)</f>
        <v xml:space="preserve"> </v>
      </c>
      <c r="F149" s="18"/>
      <c r="G149" s="18"/>
    </row>
    <row r="150" spans="1:7" hidden="1" x14ac:dyDescent="0.2">
      <c r="A150" s="109"/>
      <c r="B150" s="116"/>
      <c r="C150" s="8">
        <f t="shared" si="3"/>
        <v>133</v>
      </c>
      <c r="D150" s="17" t="str">
        <f>IF(TB_IO!B221=""," ",TB_IO!B221)</f>
        <v xml:space="preserve"> </v>
      </c>
      <c r="E150" s="17" t="str">
        <f>IF(TB_IO!L221=""," ",TB_IO!L221)</f>
        <v xml:space="preserve"> </v>
      </c>
      <c r="F150" s="18"/>
      <c r="G150" s="18"/>
    </row>
    <row r="151" spans="1:7" hidden="1" x14ac:dyDescent="0.2">
      <c r="A151" s="109"/>
      <c r="B151" s="116"/>
      <c r="C151" s="8">
        <f t="shared" si="3"/>
        <v>134</v>
      </c>
      <c r="D151" s="17" t="str">
        <f>IF(TB_IO!B222=""," ",TB_IO!B222)</f>
        <v xml:space="preserve"> </v>
      </c>
      <c r="E151" s="17" t="str">
        <f>IF(TB_IO!L222=""," ",TB_IO!L222)</f>
        <v xml:space="preserve"> </v>
      </c>
      <c r="F151" s="18"/>
      <c r="G151" s="18"/>
    </row>
    <row r="152" spans="1:7" hidden="1" x14ac:dyDescent="0.2">
      <c r="A152" s="109"/>
      <c r="B152" s="116"/>
      <c r="C152" s="8">
        <f t="shared" si="3"/>
        <v>135</v>
      </c>
      <c r="D152" s="17" t="str">
        <f>IF(TB_IO!B223=""," ",TB_IO!B223)</f>
        <v xml:space="preserve"> </v>
      </c>
      <c r="E152" s="17" t="str">
        <f>IF(TB_IO!L223=""," ",TB_IO!L223)</f>
        <v xml:space="preserve"> </v>
      </c>
      <c r="F152" s="18"/>
      <c r="G152" s="18"/>
    </row>
    <row r="153" spans="1:7" hidden="1" x14ac:dyDescent="0.2">
      <c r="A153" s="109"/>
      <c r="B153" s="116"/>
      <c r="C153" s="8">
        <f t="shared" si="3"/>
        <v>136</v>
      </c>
      <c r="D153" s="17" t="str">
        <f>IF(TB_IO!B224=""," ",TB_IO!B224)</f>
        <v xml:space="preserve"> </v>
      </c>
      <c r="E153" s="17" t="str">
        <f>IF(TB_IO!L224=""," ",TB_IO!L224)</f>
        <v xml:space="preserve"> </v>
      </c>
      <c r="F153" s="18"/>
      <c r="G153" s="18"/>
    </row>
    <row r="154" spans="1:7" hidden="1" x14ac:dyDescent="0.2">
      <c r="A154" s="109"/>
      <c r="B154" s="116"/>
      <c r="C154" s="8">
        <f t="shared" si="3"/>
        <v>137</v>
      </c>
      <c r="D154" s="17" t="str">
        <f>IF(TB_IO!B225=""," ",TB_IO!B225)</f>
        <v xml:space="preserve"> </v>
      </c>
      <c r="E154" s="17" t="str">
        <f>IF(TB_IO!L225=""," ",TB_IO!L225)</f>
        <v xml:space="preserve"> </v>
      </c>
      <c r="F154" s="18"/>
      <c r="G154" s="18"/>
    </row>
    <row r="155" spans="1:7" hidden="1" x14ac:dyDescent="0.2">
      <c r="A155" s="109"/>
      <c r="B155" s="116"/>
      <c r="C155" s="8">
        <f t="shared" si="3"/>
        <v>138</v>
      </c>
      <c r="D155" s="17" t="str">
        <f>IF(TB_IO!B226=""," ",TB_IO!B226)</f>
        <v xml:space="preserve"> </v>
      </c>
      <c r="E155" s="17" t="str">
        <f>IF(TB_IO!L226=""," ",TB_IO!L226)</f>
        <v xml:space="preserve"> </v>
      </c>
      <c r="F155" s="18"/>
      <c r="G155" s="18"/>
    </row>
    <row r="156" spans="1:7" hidden="1" x14ac:dyDescent="0.2">
      <c r="A156" s="109"/>
      <c r="B156" s="116"/>
      <c r="C156" s="8">
        <f t="shared" si="3"/>
        <v>139</v>
      </c>
      <c r="D156" s="17" t="str">
        <f>IF(TB_IO!B227=""," ",TB_IO!B227)</f>
        <v xml:space="preserve"> </v>
      </c>
      <c r="E156" s="17" t="str">
        <f>IF(TB_IO!L227=""," ",TB_IO!L227)</f>
        <v xml:space="preserve"> </v>
      </c>
      <c r="F156" s="18"/>
      <c r="G156" s="18"/>
    </row>
    <row r="157" spans="1:7" hidden="1" x14ac:dyDescent="0.2">
      <c r="A157" s="109"/>
      <c r="B157" s="116"/>
      <c r="C157" s="8">
        <f t="shared" si="3"/>
        <v>140</v>
      </c>
      <c r="D157" s="17" t="str">
        <f>IF(TB_IO!B228=""," ",TB_IO!B228)</f>
        <v xml:space="preserve"> </v>
      </c>
      <c r="E157" s="17" t="str">
        <f>IF(TB_IO!L228=""," ",TB_IO!L228)</f>
        <v xml:space="preserve"> </v>
      </c>
      <c r="F157" s="18"/>
      <c r="G157" s="18"/>
    </row>
    <row r="158" spans="1:7" hidden="1" x14ac:dyDescent="0.2">
      <c r="A158" s="109"/>
      <c r="B158" s="116"/>
      <c r="C158" s="8">
        <f t="shared" si="3"/>
        <v>141</v>
      </c>
      <c r="D158" s="17" t="str">
        <f>IF(TB_IO!B229=""," ",TB_IO!B229)</f>
        <v xml:space="preserve"> </v>
      </c>
      <c r="E158" s="17" t="str">
        <f>IF(TB_IO!L229=""," ",TB_IO!L229)</f>
        <v xml:space="preserve"> </v>
      </c>
      <c r="F158" s="18"/>
      <c r="G158" s="18"/>
    </row>
    <row r="159" spans="1:7" hidden="1" x14ac:dyDescent="0.2">
      <c r="A159" s="109"/>
      <c r="B159" s="116"/>
      <c r="C159" s="8">
        <f t="shared" si="3"/>
        <v>142</v>
      </c>
      <c r="D159" s="17" t="str">
        <f>IF(TB_IO!B230=""," ",TB_IO!B230)</f>
        <v xml:space="preserve"> </v>
      </c>
      <c r="E159" s="17" t="str">
        <f>IF(TB_IO!L230=""," ",TB_IO!L230)</f>
        <v xml:space="preserve"> </v>
      </c>
      <c r="F159" s="18"/>
      <c r="G159" s="18"/>
    </row>
    <row r="160" spans="1:7" hidden="1" x14ac:dyDescent="0.2">
      <c r="A160" s="109"/>
      <c r="B160" s="116"/>
      <c r="C160" s="8">
        <f t="shared" si="3"/>
        <v>143</v>
      </c>
      <c r="D160" s="17" t="str">
        <f>IF(TB_IO!B231=""," ",TB_IO!B231)</f>
        <v xml:space="preserve"> </v>
      </c>
      <c r="E160" s="17" t="str">
        <f>IF(TB_IO!L231=""," ",TB_IO!L231)</f>
        <v xml:space="preserve"> </v>
      </c>
      <c r="F160" s="18"/>
      <c r="G160" s="18"/>
    </row>
    <row r="161" spans="1:7" hidden="1" x14ac:dyDescent="0.2">
      <c r="A161" s="109"/>
      <c r="B161" s="116"/>
      <c r="C161" s="8">
        <f t="shared" si="3"/>
        <v>144</v>
      </c>
      <c r="D161" s="17" t="str">
        <f>IF(TB_IO!B232=""," ",TB_IO!B232)</f>
        <v xml:space="preserve"> </v>
      </c>
      <c r="E161" s="17" t="str">
        <f>IF(TB_IO!L232=""," ",TB_IO!L232)</f>
        <v xml:space="preserve"> </v>
      </c>
      <c r="F161" s="18"/>
      <c r="G161" s="18"/>
    </row>
    <row r="162" spans="1:7" hidden="1" x14ac:dyDescent="0.2">
      <c r="A162" s="109"/>
      <c r="B162" s="116"/>
      <c r="C162" s="8">
        <f t="shared" si="3"/>
        <v>145</v>
      </c>
      <c r="D162" s="17" t="str">
        <f>IF(TB_IO!B233=""," ",TB_IO!B233)</f>
        <v xml:space="preserve"> </v>
      </c>
      <c r="E162" s="17" t="str">
        <f>IF(TB_IO!L233=""," ",TB_IO!L233)</f>
        <v xml:space="preserve"> </v>
      </c>
      <c r="F162" s="18"/>
      <c r="G162" s="18"/>
    </row>
    <row r="163" spans="1:7" hidden="1" x14ac:dyDescent="0.2">
      <c r="A163" s="109"/>
      <c r="B163" s="116"/>
      <c r="C163" s="8">
        <f t="shared" si="3"/>
        <v>146</v>
      </c>
      <c r="D163" s="17" t="str">
        <f>IF(TB_IO!B234=""," ",TB_IO!B234)</f>
        <v xml:space="preserve"> </v>
      </c>
      <c r="E163" s="17" t="str">
        <f>IF(TB_IO!L234=""," ",TB_IO!L234)</f>
        <v xml:space="preserve"> </v>
      </c>
      <c r="F163" s="18"/>
      <c r="G163" s="18"/>
    </row>
    <row r="164" spans="1:7" hidden="1" x14ac:dyDescent="0.2">
      <c r="A164" s="109"/>
      <c r="B164" s="116"/>
      <c r="C164" s="8">
        <f t="shared" si="3"/>
        <v>147</v>
      </c>
      <c r="D164" s="17" t="str">
        <f>IF(TB_IO!B235=""," ",TB_IO!B235)</f>
        <v xml:space="preserve"> </v>
      </c>
      <c r="E164" s="17" t="str">
        <f>IF(TB_IO!L235=""," ",TB_IO!L235)</f>
        <v xml:space="preserve"> </v>
      </c>
      <c r="F164" s="18"/>
      <c r="G164" s="18"/>
    </row>
    <row r="165" spans="1:7" hidden="1" x14ac:dyDescent="0.2">
      <c r="A165" s="109"/>
      <c r="B165" s="116"/>
      <c r="C165" s="8">
        <f t="shared" si="3"/>
        <v>148</v>
      </c>
      <c r="D165" s="17" t="str">
        <f>IF(TB_IO!B236=""," ",TB_IO!B236)</f>
        <v xml:space="preserve"> </v>
      </c>
      <c r="E165" s="17" t="str">
        <f>IF(TB_IO!L236=""," ",TB_IO!L236)</f>
        <v xml:space="preserve"> </v>
      </c>
      <c r="F165" s="18"/>
      <c r="G165" s="18"/>
    </row>
    <row r="166" spans="1:7" hidden="1" x14ac:dyDescent="0.2">
      <c r="A166" s="109"/>
      <c r="B166" s="116"/>
      <c r="C166" s="8">
        <f t="shared" si="3"/>
        <v>149</v>
      </c>
      <c r="D166" s="17" t="str">
        <f>IF(TB_IO!B237=""," ",TB_IO!B237)</f>
        <v xml:space="preserve"> </v>
      </c>
      <c r="E166" s="17" t="str">
        <f>IF(TB_IO!L237=""," ",TB_IO!L237)</f>
        <v xml:space="preserve"> </v>
      </c>
      <c r="F166" s="18"/>
      <c r="G166" s="18"/>
    </row>
    <row r="167" spans="1:7" hidden="1" x14ac:dyDescent="0.2">
      <c r="A167" s="109"/>
      <c r="B167" s="116"/>
      <c r="C167" s="8">
        <f t="shared" si="3"/>
        <v>150</v>
      </c>
      <c r="D167" s="17" t="str">
        <f>IF(TB_IO!B238=""," ",TB_IO!B238)</f>
        <v xml:space="preserve"> </v>
      </c>
      <c r="E167" s="17" t="str">
        <f>IF(TB_IO!L238=""," ",TB_IO!L238)</f>
        <v xml:space="preserve"> </v>
      </c>
      <c r="F167" s="18"/>
      <c r="G167" s="18"/>
    </row>
    <row r="168" spans="1:7" hidden="1" x14ac:dyDescent="0.2">
      <c r="A168" s="109"/>
      <c r="B168" s="116"/>
      <c r="C168" s="8">
        <f t="shared" si="3"/>
        <v>151</v>
      </c>
      <c r="D168" s="17" t="str">
        <f>IF(TB_IO!B239=""," ",TB_IO!B239)</f>
        <v xml:space="preserve"> </v>
      </c>
      <c r="E168" s="17" t="str">
        <f>IF(TB_IO!L239=""," ",TB_IO!L239)</f>
        <v xml:space="preserve"> </v>
      </c>
      <c r="F168" s="18"/>
      <c r="G168" s="18"/>
    </row>
    <row r="169" spans="1:7" hidden="1" x14ac:dyDescent="0.2">
      <c r="A169" s="109"/>
      <c r="B169" s="116"/>
      <c r="C169" s="8">
        <f t="shared" si="3"/>
        <v>152</v>
      </c>
      <c r="D169" s="17" t="str">
        <f>IF(TB_IO!B240=""," ",TB_IO!B240)</f>
        <v xml:space="preserve"> </v>
      </c>
      <c r="E169" s="17" t="str">
        <f>IF(TB_IO!L240=""," ",TB_IO!L240)</f>
        <v xml:space="preserve"> </v>
      </c>
      <c r="F169" s="18"/>
      <c r="G169" s="18"/>
    </row>
    <row r="170" spans="1:7" hidden="1" x14ac:dyDescent="0.2">
      <c r="A170" s="109"/>
      <c r="B170" s="116"/>
      <c r="C170" s="8">
        <f t="shared" si="3"/>
        <v>153</v>
      </c>
      <c r="D170" s="17" t="str">
        <f>IF(TB_IO!B241=""," ",TB_IO!B241)</f>
        <v xml:space="preserve"> </v>
      </c>
      <c r="E170" s="17" t="str">
        <f>IF(TB_IO!L241=""," ",TB_IO!L241)</f>
        <v xml:space="preserve"> </v>
      </c>
      <c r="F170" s="18"/>
      <c r="G170" s="18"/>
    </row>
    <row r="171" spans="1:7" hidden="1" x14ac:dyDescent="0.2">
      <c r="A171" s="109"/>
      <c r="B171" s="116"/>
      <c r="C171" s="8">
        <f t="shared" si="3"/>
        <v>154</v>
      </c>
      <c r="D171" s="17" t="str">
        <f>IF(TB_IO!B242=""," ",TB_IO!B242)</f>
        <v xml:space="preserve"> </v>
      </c>
      <c r="E171" s="17" t="str">
        <f>IF(TB_IO!L242=""," ",TB_IO!L242)</f>
        <v xml:space="preserve"> </v>
      </c>
      <c r="F171" s="18"/>
      <c r="G171" s="18"/>
    </row>
    <row r="172" spans="1:7" hidden="1" x14ac:dyDescent="0.2">
      <c r="A172" s="109"/>
      <c r="B172" s="116"/>
      <c r="C172" s="8">
        <f t="shared" si="3"/>
        <v>155</v>
      </c>
      <c r="D172" s="17" t="str">
        <f>IF(TB_IO!B243=""," ",TB_IO!B243)</f>
        <v xml:space="preserve"> </v>
      </c>
      <c r="E172" s="17" t="str">
        <f>IF(TB_IO!L243=""," ",TB_IO!L243)</f>
        <v xml:space="preserve"> </v>
      </c>
      <c r="F172" s="18"/>
      <c r="G172" s="18"/>
    </row>
    <row r="173" spans="1:7" hidden="1" x14ac:dyDescent="0.2">
      <c r="A173" s="109"/>
      <c r="B173" s="116"/>
      <c r="C173" s="8">
        <f t="shared" si="3"/>
        <v>156</v>
      </c>
      <c r="D173" s="17" t="str">
        <f>IF(TB_IO!B244=""," ",TB_IO!B244)</f>
        <v xml:space="preserve"> </v>
      </c>
      <c r="E173" s="17" t="str">
        <f>IF(TB_IO!L244=""," ",TB_IO!L244)</f>
        <v xml:space="preserve"> </v>
      </c>
      <c r="F173" s="18"/>
      <c r="G173" s="18"/>
    </row>
    <row r="174" spans="1:7" hidden="1" x14ac:dyDescent="0.2">
      <c r="A174" s="109"/>
      <c r="B174" s="116"/>
      <c r="C174" s="8">
        <f t="shared" si="3"/>
        <v>157</v>
      </c>
      <c r="D174" s="17" t="str">
        <f>IF(TB_IO!B245=""," ",TB_IO!B245)</f>
        <v xml:space="preserve"> </v>
      </c>
      <c r="E174" s="17" t="str">
        <f>IF(TB_IO!L245=""," ",TB_IO!L245)</f>
        <v xml:space="preserve"> </v>
      </c>
      <c r="F174" s="18"/>
      <c r="G174" s="18"/>
    </row>
    <row r="175" spans="1:7" hidden="1" x14ac:dyDescent="0.2">
      <c r="A175" s="109"/>
      <c r="B175" s="116"/>
      <c r="C175" s="8">
        <f t="shared" si="3"/>
        <v>158</v>
      </c>
      <c r="D175" s="17" t="str">
        <f>IF(TB_IO!B246=""," ",TB_IO!B246)</f>
        <v xml:space="preserve"> </v>
      </c>
      <c r="E175" s="17" t="str">
        <f>IF(TB_IO!L246=""," ",TB_IO!L246)</f>
        <v xml:space="preserve"> </v>
      </c>
      <c r="F175" s="18"/>
      <c r="G175" s="18"/>
    </row>
    <row r="176" spans="1:7" hidden="1" x14ac:dyDescent="0.2">
      <c r="A176" s="109"/>
      <c r="B176" s="116"/>
      <c r="C176" s="8">
        <f t="shared" si="3"/>
        <v>159</v>
      </c>
      <c r="D176" s="17" t="str">
        <f>IF(TB_IO!B247=""," ",TB_IO!B247)</f>
        <v xml:space="preserve"> </v>
      </c>
      <c r="E176" s="17" t="str">
        <f>IF(TB_IO!L247=""," ",TB_IO!L247)</f>
        <v xml:space="preserve"> </v>
      </c>
      <c r="F176" s="18"/>
      <c r="G176" s="18"/>
    </row>
    <row r="177" spans="1:7" hidden="1" x14ac:dyDescent="0.2">
      <c r="A177" s="109"/>
      <c r="B177" s="116"/>
      <c r="C177" s="8">
        <f t="shared" si="3"/>
        <v>160</v>
      </c>
      <c r="D177" s="17" t="str">
        <f>IF(TB_IO!B248=""," ",TB_IO!B248)</f>
        <v xml:space="preserve"> </v>
      </c>
      <c r="E177" s="17" t="str">
        <f>IF(TB_IO!L248=""," ",TB_IO!L248)</f>
        <v xml:space="preserve"> </v>
      </c>
      <c r="F177" s="18"/>
      <c r="G177" s="18"/>
    </row>
    <row r="178" spans="1:7" x14ac:dyDescent="0.2">
      <c r="A178" s="109"/>
      <c r="B178" s="116"/>
      <c r="C178" s="8" t="s">
        <v>20</v>
      </c>
      <c r="D178" s="17" t="s">
        <v>19</v>
      </c>
      <c r="E178" s="18"/>
      <c r="F178" s="18"/>
      <c r="G178" s="18"/>
    </row>
    <row r="179" spans="1:7" x14ac:dyDescent="0.2">
      <c r="A179" s="109"/>
      <c r="B179" s="116"/>
      <c r="C179" s="8">
        <v>171</v>
      </c>
      <c r="D179" s="59" t="s">
        <v>21</v>
      </c>
      <c r="E179" s="18"/>
      <c r="F179" s="18"/>
      <c r="G179" s="18"/>
    </row>
    <row r="180" spans="1:7" x14ac:dyDescent="0.2">
      <c r="A180" s="109"/>
      <c r="B180" s="116"/>
      <c r="C180" s="8">
        <v>254</v>
      </c>
      <c r="D180" s="59" t="s">
        <v>22</v>
      </c>
      <c r="E180" s="18"/>
      <c r="F180" s="18"/>
      <c r="G180" s="18"/>
    </row>
    <row r="181" spans="1:7" ht="15.75" thickBot="1" x14ac:dyDescent="0.25">
      <c r="A181" s="110"/>
      <c r="B181" s="117"/>
      <c r="C181" s="10">
        <v>255</v>
      </c>
      <c r="D181" s="60" t="s">
        <v>13</v>
      </c>
      <c r="E181" s="20"/>
      <c r="F181" s="20"/>
      <c r="G181" s="20"/>
    </row>
    <row r="182" spans="1:7" x14ac:dyDescent="0.2">
      <c r="A182" s="108">
        <v>40005</v>
      </c>
      <c r="B182" s="118" t="s">
        <v>23</v>
      </c>
      <c r="C182" s="7">
        <v>0</v>
      </c>
      <c r="D182" s="61" t="str">
        <f>IF(TB_IO!B7=""," ",TB_IO!B7)</f>
        <v>Fuel</v>
      </c>
      <c r="E182" s="16" t="str">
        <f>IF(TB_IO!L7=""," ",TB_IO!L7)</f>
        <v>N/A</v>
      </c>
      <c r="F182" s="16"/>
      <c r="G182" s="16"/>
    </row>
    <row r="183" spans="1:7" x14ac:dyDescent="0.2">
      <c r="A183" s="109"/>
      <c r="B183" s="119"/>
      <c r="C183" s="8">
        <f>C182+1</f>
        <v>1</v>
      </c>
      <c r="D183" s="59" t="str">
        <f>IF(TB_IO!B8=""," ",TB_IO!B8)</f>
        <v>Ignition</v>
      </c>
      <c r="E183" s="18" t="str">
        <f>IF(TB_IO!L8=""," ",TB_IO!L8)</f>
        <v>N/A</v>
      </c>
      <c r="F183" s="18"/>
      <c r="G183" s="18"/>
    </row>
    <row r="184" spans="1:7" x14ac:dyDescent="0.2">
      <c r="A184" s="109"/>
      <c r="B184" s="119"/>
      <c r="C184" s="8">
        <f t="shared" ref="C184:C185" si="4">C183+1</f>
        <v>2</v>
      </c>
      <c r="D184" s="59" t="str">
        <f>IF(TB_IO!B9=""," ",TB_IO!B9)</f>
        <v>Start Crank</v>
      </c>
      <c r="E184" s="18" t="str">
        <f>IF(TB_IO!L9=""," ",TB_IO!L9)</f>
        <v>N/A</v>
      </c>
      <c r="F184" s="18"/>
      <c r="G184" s="18"/>
    </row>
    <row r="185" spans="1:7" ht="15.75" thickBot="1" x14ac:dyDescent="0.25">
      <c r="A185" s="110"/>
      <c r="B185" s="120"/>
      <c r="C185" s="10">
        <f t="shared" si="4"/>
        <v>3</v>
      </c>
      <c r="D185" s="60" t="str">
        <f>IF(TB_IO!B10=""," ",TB_IO!B10)</f>
        <v xml:space="preserve">Auxiliary Lube </v>
      </c>
      <c r="E185" s="18" t="str">
        <f>IF(TB_IO!L10=""," ",TB_IO!L10)</f>
        <v>N/A</v>
      </c>
      <c r="F185" s="20"/>
      <c r="G185" s="20"/>
    </row>
    <row r="186" spans="1:7" x14ac:dyDescent="0.2">
      <c r="A186" s="108">
        <v>40006</v>
      </c>
      <c r="B186" s="118" t="s">
        <v>24</v>
      </c>
      <c r="C186" s="7">
        <v>0</v>
      </c>
      <c r="D186" s="15" t="s">
        <v>19</v>
      </c>
      <c r="E186" s="16"/>
      <c r="F186" s="16"/>
      <c r="G186" s="16"/>
    </row>
    <row r="187" spans="1:7" x14ac:dyDescent="0.2">
      <c r="A187" s="109"/>
      <c r="B187" s="119"/>
      <c r="C187" s="8">
        <f>C186+1</f>
        <v>1</v>
      </c>
      <c r="D187" s="59" t="s">
        <v>25</v>
      </c>
      <c r="E187" s="18"/>
      <c r="F187" s="18"/>
      <c r="G187" s="18"/>
    </row>
    <row r="188" spans="1:7" ht="15.75" thickBot="1" x14ac:dyDescent="0.25">
      <c r="A188" s="110"/>
      <c r="B188" s="120"/>
      <c r="C188" s="10">
        <f>C187+1</f>
        <v>2</v>
      </c>
      <c r="D188" s="60" t="s">
        <v>26</v>
      </c>
      <c r="E188" s="20"/>
      <c r="F188" s="20"/>
      <c r="G188" s="20"/>
    </row>
    <row r="189" spans="1:7" x14ac:dyDescent="0.2">
      <c r="A189" s="108">
        <v>40020</v>
      </c>
      <c r="B189" s="111" t="s">
        <v>27</v>
      </c>
      <c r="C189" s="7">
        <v>0</v>
      </c>
      <c r="D189" s="61" t="str">
        <f>IF(TB_IO!B51=""," ",TB_IO!B51)</f>
        <v>Fuel Valve</v>
      </c>
      <c r="E189" s="16" t="str">
        <f>IF(TB_IO!L51=""," ",TB_IO!L51)</f>
        <v xml:space="preserve"> </v>
      </c>
      <c r="F189" s="16"/>
      <c r="G189" s="16"/>
    </row>
    <row r="190" spans="1:7" x14ac:dyDescent="0.2">
      <c r="A190" s="109"/>
      <c r="B190" s="112"/>
      <c r="C190" s="8">
        <f>C189+1</f>
        <v>1</v>
      </c>
      <c r="D190" s="59" t="str">
        <f>IF(TB_IO!B52=""," ",TB_IO!B52)</f>
        <v>Not Used</v>
      </c>
      <c r="E190" s="18" t="str">
        <f>IF(TB_IO!L52=""," ",TB_IO!L52)</f>
        <v xml:space="preserve"> </v>
      </c>
      <c r="F190" s="18"/>
      <c r="G190" s="18"/>
    </row>
    <row r="191" spans="1:7" x14ac:dyDescent="0.2">
      <c r="A191" s="109"/>
      <c r="B191" s="112"/>
      <c r="C191" s="8">
        <f t="shared" ref="C191:C196" si="5">C190+1</f>
        <v>2</v>
      </c>
      <c r="D191" s="59" t="str">
        <f>IF(TB_IO!B53=""," ",TB_IO!B53)</f>
        <v>Bypass Valve Open</v>
      </c>
      <c r="E191" s="18" t="str">
        <f>IF(TB_IO!L53=""," ",TB_IO!L53)</f>
        <v xml:space="preserve"> </v>
      </c>
      <c r="F191" s="18"/>
      <c r="G191" s="18"/>
    </row>
    <row r="192" spans="1:7" x14ac:dyDescent="0.2">
      <c r="A192" s="109"/>
      <c r="B192" s="112"/>
      <c r="C192" s="8">
        <f t="shared" si="5"/>
        <v>3</v>
      </c>
      <c r="D192" s="59" t="str">
        <f>IF(TB_IO!B54=""," ",TB_IO!B54)</f>
        <v>Blowdown Valve Close</v>
      </c>
      <c r="E192" s="18" t="str">
        <f>IF(TB_IO!L54=""," ",TB_IO!L54)</f>
        <v xml:space="preserve"> </v>
      </c>
      <c r="F192" s="18"/>
      <c r="G192" s="18"/>
    </row>
    <row r="193" spans="1:7" x14ac:dyDescent="0.2">
      <c r="A193" s="109"/>
      <c r="B193" s="112"/>
      <c r="C193" s="8">
        <f t="shared" si="5"/>
        <v>4</v>
      </c>
      <c r="D193" s="59" t="str">
        <f>IF(TB_IO!B55=""," ",TB_IO!B55)</f>
        <v>RUN STATUS</v>
      </c>
      <c r="E193" s="18" t="str">
        <f>IF(TB_IO!L55=""," ",TB_IO!L55)</f>
        <v xml:space="preserve"> </v>
      </c>
      <c r="F193" s="18"/>
      <c r="G193" s="18"/>
    </row>
    <row r="194" spans="1:7" x14ac:dyDescent="0.2">
      <c r="A194" s="109"/>
      <c r="B194" s="112"/>
      <c r="C194" s="8">
        <f t="shared" si="5"/>
        <v>5</v>
      </c>
      <c r="D194" s="59" t="str">
        <f>IF(TB_IO!B56=""," ",TB_IO!B56)</f>
        <v>ALARM HORN</v>
      </c>
      <c r="E194" s="18" t="str">
        <f>IF(TB_IO!L56=""," ",TB_IO!L56)</f>
        <v xml:space="preserve"> </v>
      </c>
      <c r="F194" s="18"/>
      <c r="G194" s="18"/>
    </row>
    <row r="195" spans="1:7" x14ac:dyDescent="0.2">
      <c r="A195" s="109"/>
      <c r="B195" s="112"/>
      <c r="C195" s="8">
        <f t="shared" si="5"/>
        <v>6</v>
      </c>
      <c r="D195" s="59" t="str">
        <f>IF(TB_IO!B57=""," ",TB_IO!B57)</f>
        <v>ALARM STATUS</v>
      </c>
      <c r="E195" s="18" t="str">
        <f>IF(TB_IO!L57=""," ",TB_IO!L57)</f>
        <v xml:space="preserve"> </v>
      </c>
      <c r="F195" s="18"/>
      <c r="G195" s="18"/>
    </row>
    <row r="196" spans="1:7" ht="15.75" thickBot="1" x14ac:dyDescent="0.25">
      <c r="A196" s="110"/>
      <c r="B196" s="113"/>
      <c r="C196" s="10">
        <f t="shared" si="5"/>
        <v>7</v>
      </c>
      <c r="D196" s="59" t="str">
        <f>IF(TB_IO!B58=""," ",TB_IO!B58)</f>
        <v>FAULT STATUS</v>
      </c>
      <c r="E196" s="18" t="str">
        <f>IF(TB_IO!L58=""," ",TB_IO!L58)</f>
        <v xml:space="preserve"> </v>
      </c>
      <c r="F196" s="20"/>
      <c r="G196" s="20"/>
    </row>
    <row r="197" spans="1:7" x14ac:dyDescent="0.2">
      <c r="A197" s="108">
        <v>40021</v>
      </c>
      <c r="B197" s="111" t="s">
        <v>28</v>
      </c>
      <c r="C197" s="7">
        <v>0</v>
      </c>
      <c r="D197" s="61" t="str">
        <f>IF(TB_IO!B102=""," ",TB_IO!B102)</f>
        <v xml:space="preserve"> </v>
      </c>
      <c r="E197" s="16" t="str">
        <f>IF(TB_IO!L102=""," ",TB_IO!L102)</f>
        <v xml:space="preserve"> </v>
      </c>
      <c r="F197" s="16"/>
      <c r="G197" s="16"/>
    </row>
    <row r="198" spans="1:7" x14ac:dyDescent="0.2">
      <c r="A198" s="109"/>
      <c r="B198" s="112"/>
      <c r="C198" s="8">
        <f>C197+1</f>
        <v>1</v>
      </c>
      <c r="D198" s="59" t="str">
        <f>IF(TB_IO!B103=""," ",TB_IO!B103)</f>
        <v xml:space="preserve"> </v>
      </c>
      <c r="E198" s="18" t="str">
        <f>IF(TB_IO!L103=""," ",TB_IO!L103)</f>
        <v xml:space="preserve"> </v>
      </c>
      <c r="F198" s="18"/>
      <c r="G198" s="18"/>
    </row>
    <row r="199" spans="1:7" x14ac:dyDescent="0.2">
      <c r="A199" s="109"/>
      <c r="B199" s="112"/>
      <c r="C199" s="8">
        <f t="shared" ref="C199:C204" si="6">C198+1</f>
        <v>2</v>
      </c>
      <c r="D199" s="59" t="str">
        <f>IF(TB_IO!B104=""," ",TB_IO!B104)</f>
        <v xml:space="preserve"> </v>
      </c>
      <c r="E199" s="18" t="str">
        <f>IF(TB_IO!L104=""," ",TB_IO!L104)</f>
        <v xml:space="preserve"> </v>
      </c>
      <c r="F199" s="18"/>
      <c r="G199" s="18"/>
    </row>
    <row r="200" spans="1:7" x14ac:dyDescent="0.2">
      <c r="A200" s="109"/>
      <c r="B200" s="112"/>
      <c r="C200" s="8">
        <f t="shared" si="6"/>
        <v>3</v>
      </c>
      <c r="D200" s="59" t="str">
        <f>IF(TB_IO!B105=""," ",TB_IO!B105)</f>
        <v>ENGINE PRE LUBE</v>
      </c>
      <c r="E200" s="18" t="str">
        <f>IF(TB_IO!L105=""," ",TB_IO!L105)</f>
        <v xml:space="preserve"> </v>
      </c>
      <c r="F200" s="18"/>
      <c r="G200" s="18"/>
    </row>
    <row r="201" spans="1:7" x14ac:dyDescent="0.2">
      <c r="A201" s="109"/>
      <c r="B201" s="112"/>
      <c r="C201" s="8">
        <f t="shared" si="6"/>
        <v>4</v>
      </c>
      <c r="D201" s="59" t="str">
        <f>IF(TB_IO!B106=""," ",TB_IO!B106)</f>
        <v>STROBE LIGHT RUNNING GREEN</v>
      </c>
      <c r="E201" s="18" t="str">
        <f>IF(TB_IO!L106=""," ",TB_IO!L106)</f>
        <v xml:space="preserve"> </v>
      </c>
      <c r="F201" s="18"/>
      <c r="G201" s="18"/>
    </row>
    <row r="202" spans="1:7" x14ac:dyDescent="0.2">
      <c r="A202" s="109"/>
      <c r="B202" s="112"/>
      <c r="C202" s="8">
        <f t="shared" si="6"/>
        <v>5</v>
      </c>
      <c r="D202" s="59" t="str">
        <f>IF(TB_IO!B107=""," ",TB_IO!B107)</f>
        <v>STROBE LIGHT ALARM AMBER</v>
      </c>
      <c r="E202" s="18" t="str">
        <f>IF(TB_IO!L107=""," ",TB_IO!L107)</f>
        <v xml:space="preserve"> </v>
      </c>
      <c r="F202" s="18"/>
      <c r="G202" s="18"/>
    </row>
    <row r="203" spans="1:7" x14ac:dyDescent="0.2">
      <c r="A203" s="109"/>
      <c r="B203" s="112"/>
      <c r="C203" s="8">
        <f t="shared" si="6"/>
        <v>6</v>
      </c>
      <c r="D203" s="59" t="str">
        <f>IF(TB_IO!B108=""," ",TB_IO!B108)</f>
        <v>STROBE LIGHT FAULT RED</v>
      </c>
      <c r="E203" s="18" t="str">
        <f>IF(TB_IO!L108=""," ",TB_IO!L108)</f>
        <v xml:space="preserve"> </v>
      </c>
      <c r="F203" s="18"/>
      <c r="G203" s="18"/>
    </row>
    <row r="204" spans="1:7" ht="15.75" thickBot="1" x14ac:dyDescent="0.25">
      <c r="A204" s="110"/>
      <c r="B204" s="113"/>
      <c r="C204" s="10">
        <f t="shared" si="6"/>
        <v>7</v>
      </c>
      <c r="D204" s="59" t="str">
        <f>IF(TB_IO!B109=""," ",TB_IO!B109)</f>
        <v>STROBE LIGHT FLASH</v>
      </c>
      <c r="E204" s="18" t="str">
        <f>IF(TB_IO!L109=""," ",TB_IO!L109)</f>
        <v xml:space="preserve"> </v>
      </c>
      <c r="F204" s="20"/>
      <c r="G204" s="20"/>
    </row>
    <row r="205" spans="1:7" hidden="1" x14ac:dyDescent="0.2">
      <c r="A205" s="108">
        <v>40022</v>
      </c>
      <c r="B205" s="111" t="s">
        <v>29</v>
      </c>
      <c r="C205" s="7">
        <v>0</v>
      </c>
      <c r="D205" s="21" t="str">
        <f>IF(TB_IO!B153=""," ",TB_IO!B153)</f>
        <v xml:space="preserve"> </v>
      </c>
      <c r="E205" s="16" t="str">
        <f>IF(TB_IO!L153=""," ",TB_IO!L153)</f>
        <v xml:space="preserve"> </v>
      </c>
      <c r="F205" s="16"/>
      <c r="G205" s="16"/>
    </row>
    <row r="206" spans="1:7" hidden="1" x14ac:dyDescent="0.2">
      <c r="A206" s="109"/>
      <c r="B206" s="112"/>
      <c r="C206" s="8">
        <f>C205+1</f>
        <v>1</v>
      </c>
      <c r="D206" s="19" t="str">
        <f>IF(TB_IO!B154=""," ",TB_IO!B154)</f>
        <v xml:space="preserve"> </v>
      </c>
      <c r="E206" s="18" t="str">
        <f>IF(TB_IO!L153=""," ",TB_IO!L153)</f>
        <v xml:space="preserve"> </v>
      </c>
      <c r="F206" s="18"/>
      <c r="G206" s="18"/>
    </row>
    <row r="207" spans="1:7" hidden="1" x14ac:dyDescent="0.2">
      <c r="A207" s="109"/>
      <c r="B207" s="112"/>
      <c r="C207" s="8">
        <f t="shared" ref="C207:C212" si="7">C206+1</f>
        <v>2</v>
      </c>
      <c r="D207" s="19" t="str">
        <f>IF(TB_IO!B155=""," ",TB_IO!B155)</f>
        <v xml:space="preserve"> </v>
      </c>
      <c r="E207" s="18" t="str">
        <f>IF(TB_IO!L154=""," ",TB_IO!L154)</f>
        <v xml:space="preserve"> </v>
      </c>
      <c r="F207" s="18"/>
      <c r="G207" s="18"/>
    </row>
    <row r="208" spans="1:7" hidden="1" x14ac:dyDescent="0.2">
      <c r="A208" s="109"/>
      <c r="B208" s="112"/>
      <c r="C208" s="8">
        <f t="shared" si="7"/>
        <v>3</v>
      </c>
      <c r="D208" s="19" t="str">
        <f>IF(TB_IO!B156=""," ",TB_IO!B156)</f>
        <v xml:space="preserve"> </v>
      </c>
      <c r="E208" s="18" t="str">
        <f>IF(TB_IO!L155=""," ",TB_IO!L155)</f>
        <v xml:space="preserve"> </v>
      </c>
      <c r="F208" s="18"/>
      <c r="G208" s="18"/>
    </row>
    <row r="209" spans="1:7" hidden="1" x14ac:dyDescent="0.2">
      <c r="A209" s="109"/>
      <c r="B209" s="112"/>
      <c r="C209" s="8">
        <f t="shared" si="7"/>
        <v>4</v>
      </c>
      <c r="D209" s="19" t="str">
        <f>IF(TB_IO!B157=""," ",TB_IO!B157)</f>
        <v xml:space="preserve"> </v>
      </c>
      <c r="E209" s="18" t="str">
        <f>IF(TB_IO!L156=""," ",TB_IO!L156)</f>
        <v xml:space="preserve"> </v>
      </c>
      <c r="F209" s="18"/>
      <c r="G209" s="18"/>
    </row>
    <row r="210" spans="1:7" hidden="1" x14ac:dyDescent="0.2">
      <c r="A210" s="109"/>
      <c r="B210" s="112"/>
      <c r="C210" s="8">
        <f t="shared" si="7"/>
        <v>5</v>
      </c>
      <c r="D210" s="19" t="str">
        <f>IF(TB_IO!B158=""," ",TB_IO!B158)</f>
        <v xml:space="preserve"> </v>
      </c>
      <c r="E210" s="18" t="str">
        <f>IF(TB_IO!L157=""," ",TB_IO!L157)</f>
        <v xml:space="preserve"> </v>
      </c>
      <c r="F210" s="18"/>
      <c r="G210" s="18"/>
    </row>
    <row r="211" spans="1:7" hidden="1" x14ac:dyDescent="0.2">
      <c r="A211" s="109"/>
      <c r="B211" s="112"/>
      <c r="C211" s="8">
        <f t="shared" si="7"/>
        <v>6</v>
      </c>
      <c r="D211" s="19" t="str">
        <f>IF(TB_IO!B159=""," ",TB_IO!B159)</f>
        <v xml:space="preserve"> </v>
      </c>
      <c r="E211" s="18" t="str">
        <f>IF(TB_IO!L158=""," ",TB_IO!L158)</f>
        <v xml:space="preserve"> </v>
      </c>
      <c r="F211" s="18"/>
      <c r="G211" s="18"/>
    </row>
    <row r="212" spans="1:7" ht="15.75" hidden="1" thickBot="1" x14ac:dyDescent="0.25">
      <c r="A212" s="110"/>
      <c r="B212" s="113"/>
      <c r="C212" s="10">
        <f t="shared" si="7"/>
        <v>7</v>
      </c>
      <c r="D212" s="48" t="str">
        <f>IF(TB_IO!B160=""," ",TB_IO!B160)</f>
        <v xml:space="preserve"> </v>
      </c>
      <c r="E212" s="47" t="str">
        <f>IF(TB_IO!L159=""," ",TB_IO!L159)</f>
        <v xml:space="preserve"> </v>
      </c>
      <c r="F212" s="20"/>
      <c r="G212" s="20"/>
    </row>
    <row r="213" spans="1:7" hidden="1" x14ac:dyDescent="0.2">
      <c r="A213" s="108">
        <v>40023</v>
      </c>
      <c r="B213" s="111" t="s">
        <v>30</v>
      </c>
      <c r="C213" s="7">
        <v>0</v>
      </c>
      <c r="D213" s="21" t="str">
        <f>IF(TB_IO!B204=""," ",TB_IO!B204)</f>
        <v xml:space="preserve"> </v>
      </c>
      <c r="E213" s="16" t="str">
        <f>IF(TB_IO!L204=""," ",TB_IO!L204)</f>
        <v xml:space="preserve"> </v>
      </c>
      <c r="F213" s="16"/>
      <c r="G213" s="16"/>
    </row>
    <row r="214" spans="1:7" hidden="1" x14ac:dyDescent="0.2">
      <c r="A214" s="109"/>
      <c r="B214" s="112"/>
      <c r="C214" s="8">
        <f>C213+1</f>
        <v>1</v>
      </c>
      <c r="D214" s="19" t="str">
        <f>IF(TB_IO!B205=""," ",TB_IO!B205)</f>
        <v xml:space="preserve"> </v>
      </c>
      <c r="E214" s="18" t="str">
        <f>IF(TB_IO!L205=""," ",TB_IO!L205)</f>
        <v xml:space="preserve"> </v>
      </c>
      <c r="F214" s="18"/>
      <c r="G214" s="18"/>
    </row>
    <row r="215" spans="1:7" hidden="1" x14ac:dyDescent="0.2">
      <c r="A215" s="109"/>
      <c r="B215" s="112"/>
      <c r="C215" s="8">
        <f t="shared" ref="C215:C220" si="8">C214+1</f>
        <v>2</v>
      </c>
      <c r="D215" s="19" t="str">
        <f>IF(TB_IO!B206=""," ",TB_IO!B206)</f>
        <v xml:space="preserve"> </v>
      </c>
      <c r="E215" s="18" t="str">
        <f>IF(TB_IO!L206=""," ",TB_IO!L206)</f>
        <v xml:space="preserve"> </v>
      </c>
      <c r="F215" s="18"/>
      <c r="G215" s="18"/>
    </row>
    <row r="216" spans="1:7" hidden="1" x14ac:dyDescent="0.2">
      <c r="A216" s="109"/>
      <c r="B216" s="112"/>
      <c r="C216" s="8">
        <f t="shared" si="8"/>
        <v>3</v>
      </c>
      <c r="D216" s="19" t="str">
        <f>IF(TB_IO!B207=""," ",TB_IO!B207)</f>
        <v xml:space="preserve"> </v>
      </c>
      <c r="E216" s="18" t="str">
        <f>IF(TB_IO!L207=""," ",TB_IO!L207)</f>
        <v xml:space="preserve"> </v>
      </c>
      <c r="F216" s="18"/>
      <c r="G216" s="18"/>
    </row>
    <row r="217" spans="1:7" hidden="1" x14ac:dyDescent="0.2">
      <c r="A217" s="109"/>
      <c r="B217" s="112"/>
      <c r="C217" s="8">
        <f t="shared" si="8"/>
        <v>4</v>
      </c>
      <c r="D217" s="19" t="str">
        <f>IF(TB_IO!B208=""," ",TB_IO!B208)</f>
        <v xml:space="preserve"> </v>
      </c>
      <c r="E217" s="18" t="str">
        <f>IF(TB_IO!L208=""," ",TB_IO!L208)</f>
        <v xml:space="preserve"> </v>
      </c>
      <c r="F217" s="18"/>
      <c r="G217" s="18"/>
    </row>
    <row r="218" spans="1:7" hidden="1" x14ac:dyDescent="0.2">
      <c r="A218" s="109"/>
      <c r="B218" s="112"/>
      <c r="C218" s="8">
        <f t="shared" si="8"/>
        <v>5</v>
      </c>
      <c r="D218" s="19" t="str">
        <f>IF(TB_IO!B209=""," ",TB_IO!B209)</f>
        <v xml:space="preserve"> </v>
      </c>
      <c r="E218" s="18" t="str">
        <f>IF(TB_IO!L209=""," ",TB_IO!L209)</f>
        <v xml:space="preserve"> </v>
      </c>
      <c r="F218" s="18"/>
      <c r="G218" s="18"/>
    </row>
    <row r="219" spans="1:7" hidden="1" x14ac:dyDescent="0.2">
      <c r="A219" s="109"/>
      <c r="B219" s="112"/>
      <c r="C219" s="8">
        <f t="shared" si="8"/>
        <v>6</v>
      </c>
      <c r="D219" s="19" t="str">
        <f>IF(TB_IO!B210=""," ",TB_IO!B210)</f>
        <v xml:space="preserve"> </v>
      </c>
      <c r="E219" s="18" t="str">
        <f>IF(TB_IO!L210=""," ",TB_IO!L210)</f>
        <v xml:space="preserve"> </v>
      </c>
      <c r="F219" s="18"/>
      <c r="G219" s="18"/>
    </row>
    <row r="220" spans="1:7" ht="15.75" hidden="1" thickBot="1" x14ac:dyDescent="0.25">
      <c r="A220" s="110"/>
      <c r="B220" s="113"/>
      <c r="C220" s="10">
        <f t="shared" si="8"/>
        <v>7</v>
      </c>
      <c r="D220" s="19" t="str">
        <f>IF(TB_IO!B211=""," ",TB_IO!B211)</f>
        <v xml:space="preserve"> </v>
      </c>
      <c r="E220" s="18" t="str">
        <f>IF(TB_IO!L211=""," ",TB_IO!L211)</f>
        <v xml:space="preserve"> </v>
      </c>
      <c r="F220" s="20"/>
      <c r="G220" s="20"/>
    </row>
    <row r="221" spans="1:7" hidden="1" x14ac:dyDescent="0.2">
      <c r="A221" s="108">
        <v>40024</v>
      </c>
      <c r="B221" s="111" t="s">
        <v>31</v>
      </c>
      <c r="C221" s="7">
        <v>0</v>
      </c>
      <c r="D221" s="21" t="str">
        <f>IF(TB_IO!B255=""," ",TB_IO!B255)</f>
        <v xml:space="preserve"> </v>
      </c>
      <c r="E221" s="16" t="str">
        <f>IF(TB_IO!L255=""," ",TB_IO!L255)</f>
        <v xml:space="preserve"> </v>
      </c>
      <c r="F221" s="16"/>
      <c r="G221" s="16"/>
    </row>
    <row r="222" spans="1:7" hidden="1" x14ac:dyDescent="0.2">
      <c r="A222" s="109"/>
      <c r="B222" s="112"/>
      <c r="C222" s="8">
        <f>C221+1</f>
        <v>1</v>
      </c>
      <c r="D222" s="19" t="str">
        <f>IF(TB_IO!B256=""," ",TB_IO!B256)</f>
        <v xml:space="preserve"> </v>
      </c>
      <c r="E222" s="18" t="str">
        <f>IF(TB_IO!L256=""," ",TB_IO!L256)</f>
        <v xml:space="preserve"> </v>
      </c>
      <c r="F222" s="18"/>
      <c r="G222" s="18"/>
    </row>
    <row r="223" spans="1:7" hidden="1" x14ac:dyDescent="0.2">
      <c r="A223" s="109"/>
      <c r="B223" s="112"/>
      <c r="C223" s="8">
        <f t="shared" ref="C223:C228" si="9">C222+1</f>
        <v>2</v>
      </c>
      <c r="D223" s="19" t="str">
        <f>IF(TB_IO!B257=""," ",TB_IO!B257)</f>
        <v xml:space="preserve"> </v>
      </c>
      <c r="E223" s="18" t="str">
        <f>IF(TB_IO!L257=""," ",TB_IO!L257)</f>
        <v xml:space="preserve"> </v>
      </c>
      <c r="F223" s="18"/>
      <c r="G223" s="18"/>
    </row>
    <row r="224" spans="1:7" hidden="1" x14ac:dyDescent="0.2">
      <c r="A224" s="109"/>
      <c r="B224" s="112"/>
      <c r="C224" s="8">
        <f t="shared" si="9"/>
        <v>3</v>
      </c>
      <c r="D224" s="19" t="str">
        <f>IF(TB_IO!B258=""," ",TB_IO!B258)</f>
        <v xml:space="preserve"> </v>
      </c>
      <c r="E224" s="18" t="str">
        <f>IF(TB_IO!L258=""," ",TB_IO!L258)</f>
        <v xml:space="preserve"> </v>
      </c>
      <c r="F224" s="18"/>
      <c r="G224" s="18"/>
    </row>
    <row r="225" spans="1:7" hidden="1" x14ac:dyDescent="0.2">
      <c r="A225" s="109"/>
      <c r="B225" s="112"/>
      <c r="C225" s="8">
        <f t="shared" si="9"/>
        <v>4</v>
      </c>
      <c r="D225" s="19" t="str">
        <f>IF(TB_IO!B259=""," ",TB_IO!B259)</f>
        <v xml:space="preserve"> </v>
      </c>
      <c r="E225" s="18" t="str">
        <f>IF(TB_IO!L259=""," ",TB_IO!L259)</f>
        <v xml:space="preserve"> </v>
      </c>
      <c r="F225" s="18"/>
      <c r="G225" s="18"/>
    </row>
    <row r="226" spans="1:7" hidden="1" x14ac:dyDescent="0.2">
      <c r="A226" s="109"/>
      <c r="B226" s="112"/>
      <c r="C226" s="8">
        <f t="shared" si="9"/>
        <v>5</v>
      </c>
      <c r="D226" s="19" t="str">
        <f>IF(TB_IO!B260=""," ",TB_IO!B260)</f>
        <v xml:space="preserve"> </v>
      </c>
      <c r="E226" s="18" t="str">
        <f>IF(TB_IO!L260=""," ",TB_IO!L260)</f>
        <v xml:space="preserve"> </v>
      </c>
      <c r="F226" s="18"/>
      <c r="G226" s="18"/>
    </row>
    <row r="227" spans="1:7" hidden="1" x14ac:dyDescent="0.2">
      <c r="A227" s="109"/>
      <c r="B227" s="112"/>
      <c r="C227" s="8">
        <f t="shared" si="9"/>
        <v>6</v>
      </c>
      <c r="D227" s="19" t="str">
        <f>IF(TB_IO!B261=""," ",TB_IO!B261)</f>
        <v xml:space="preserve"> </v>
      </c>
      <c r="E227" s="18" t="str">
        <f>IF(TB_IO!L261=""," ",TB_IO!L261)</f>
        <v xml:space="preserve"> </v>
      </c>
      <c r="F227" s="18"/>
      <c r="G227" s="18"/>
    </row>
    <row r="228" spans="1:7" ht="15.75" hidden="1" thickBot="1" x14ac:dyDescent="0.25">
      <c r="A228" s="110"/>
      <c r="B228" s="113"/>
      <c r="C228" s="10">
        <f t="shared" si="9"/>
        <v>7</v>
      </c>
      <c r="D228" s="19" t="str">
        <f>IF(TB_IO!B262=""," ",TB_IO!B262)</f>
        <v xml:space="preserve"> </v>
      </c>
      <c r="E228" s="18" t="str">
        <f>IF(TB_IO!L262=""," ",TB_IO!L262)</f>
        <v xml:space="preserve"> </v>
      </c>
      <c r="F228" s="20"/>
      <c r="G228" s="20"/>
    </row>
    <row r="229" spans="1:7" x14ac:dyDescent="0.2">
      <c r="A229" s="105"/>
      <c r="B229" s="105"/>
      <c r="C229" s="105"/>
      <c r="D229" s="105"/>
      <c r="E229" s="105"/>
      <c r="F229" s="105"/>
      <c r="G229" s="105"/>
    </row>
    <row r="230" spans="1:7" x14ac:dyDescent="0.2">
      <c r="A230" s="22">
        <v>40090</v>
      </c>
      <c r="B230" s="23" t="s">
        <v>32</v>
      </c>
      <c r="C230" s="8" t="s">
        <v>19</v>
      </c>
      <c r="D230" s="62" t="str">
        <f>IF(TB_IO!B13=""," ",TB_IO!B13)</f>
        <v>Suction Stage 1 Pressure</v>
      </c>
      <c r="E230" s="18" t="str">
        <f>IF(TB_IO!L13=""," ",TB_IO!L13)</f>
        <v xml:space="preserve"> </v>
      </c>
      <c r="F230" s="18"/>
      <c r="G230" s="18"/>
    </row>
    <row r="231" spans="1:7" x14ac:dyDescent="0.2">
      <c r="A231" s="22">
        <f>A230+1</f>
        <v>40091</v>
      </c>
      <c r="B231" s="23" t="s">
        <v>33</v>
      </c>
      <c r="C231" s="8" t="s">
        <v>19</v>
      </c>
      <c r="D231" s="62" t="str">
        <f>IF(TB_IO!B14=""," ",TB_IO!B14)</f>
        <v>Discharge Stage 1 Pressure</v>
      </c>
      <c r="E231" s="18" t="str">
        <f>IF(TB_IO!L14=""," ",TB_IO!L14)</f>
        <v xml:space="preserve"> </v>
      </c>
      <c r="F231" s="18"/>
      <c r="G231" s="18"/>
    </row>
    <row r="232" spans="1:7" x14ac:dyDescent="0.2">
      <c r="A232" s="22">
        <f t="shared" ref="A232:A295" si="10">A231+1</f>
        <v>40092</v>
      </c>
      <c r="B232" s="23" t="s">
        <v>34</v>
      </c>
      <c r="C232" s="8" t="s">
        <v>19</v>
      </c>
      <c r="D232" s="62" t="str">
        <f>IF(TB_IO!B15=""," ",TB_IO!B15)</f>
        <v xml:space="preserve"> </v>
      </c>
      <c r="E232" s="18" t="str">
        <f>IF(TB_IO!L15=""," ",TB_IO!L15)</f>
        <v xml:space="preserve"> </v>
      </c>
      <c r="F232" s="18"/>
      <c r="G232" s="18"/>
    </row>
    <row r="233" spans="1:7" x14ac:dyDescent="0.2">
      <c r="A233" s="22">
        <f t="shared" si="10"/>
        <v>40093</v>
      </c>
      <c r="B233" s="23" t="s">
        <v>35</v>
      </c>
      <c r="C233" s="8" t="s">
        <v>19</v>
      </c>
      <c r="D233" s="62" t="str">
        <f>IF(TB_IO!B16=""," ",TB_IO!B16)</f>
        <v>Discharge Stage 2 Pressure</v>
      </c>
      <c r="E233" s="18" t="str">
        <f>IF(TB_IO!L16=""," ",TB_IO!L16)</f>
        <v xml:space="preserve"> </v>
      </c>
      <c r="F233" s="18"/>
      <c r="G233" s="18"/>
    </row>
    <row r="234" spans="1:7" x14ac:dyDescent="0.2">
      <c r="A234" s="22">
        <f t="shared" si="10"/>
        <v>40094</v>
      </c>
      <c r="B234" s="23" t="s">
        <v>36</v>
      </c>
      <c r="C234" s="8" t="s">
        <v>19</v>
      </c>
      <c r="D234" s="62" t="str">
        <f>IF(TB_IO!B17=""," ",TB_IO!B17)</f>
        <v>3rd Stage Suction Pressure</v>
      </c>
      <c r="E234" s="18" t="str">
        <f>IF(TB_IO!L17=""," ",TB_IO!L17)</f>
        <v xml:space="preserve"> </v>
      </c>
      <c r="F234" s="18"/>
      <c r="G234" s="18"/>
    </row>
    <row r="235" spans="1:7" x14ac:dyDescent="0.2">
      <c r="A235" s="22">
        <f t="shared" si="10"/>
        <v>40095</v>
      </c>
      <c r="B235" s="23" t="s">
        <v>37</v>
      </c>
      <c r="C235" s="8" t="s">
        <v>19</v>
      </c>
      <c r="D235" s="62" t="str">
        <f>IF(TB_IO!B18=""," ",TB_IO!B18)</f>
        <v>3rd Stage Discharge Pressure</v>
      </c>
      <c r="E235" s="18" t="str">
        <f>IF(TB_IO!L18=""," ",TB_IO!L18)</f>
        <v xml:space="preserve"> </v>
      </c>
      <c r="F235" s="18"/>
      <c r="G235" s="18"/>
    </row>
    <row r="236" spans="1:7" x14ac:dyDescent="0.2">
      <c r="A236" s="22">
        <f t="shared" si="10"/>
        <v>40096</v>
      </c>
      <c r="B236" s="23" t="s">
        <v>38</v>
      </c>
      <c r="C236" s="8" t="s">
        <v>19</v>
      </c>
      <c r="D236" s="62" t="str">
        <f>IF(TB_IO!B19=""," ",TB_IO!B19)</f>
        <v>Compressor Lube Oil Pressure</v>
      </c>
      <c r="E236" s="18" t="str">
        <f>IF(TB_IO!L19=""," ",TB_IO!L19)</f>
        <v xml:space="preserve"> </v>
      </c>
      <c r="F236" s="18"/>
      <c r="G236" s="18"/>
    </row>
    <row r="237" spans="1:7" x14ac:dyDescent="0.2">
      <c r="A237" s="22">
        <f t="shared" si="10"/>
        <v>40097</v>
      </c>
      <c r="B237" s="23" t="s">
        <v>39</v>
      </c>
      <c r="C237" s="8" t="s">
        <v>19</v>
      </c>
      <c r="D237" s="62" t="str">
        <f>IF(TB_IO!B20=""," ",TB_IO!B20)</f>
        <v>Engine Lube Oil Pressure</v>
      </c>
      <c r="E237" s="18" t="str">
        <f>IF(TB_IO!L20=""," ",TB_IO!L20)</f>
        <v xml:space="preserve"> </v>
      </c>
      <c r="F237" s="18"/>
      <c r="G237" s="18"/>
    </row>
    <row r="238" spans="1:7" x14ac:dyDescent="0.2">
      <c r="A238" s="22">
        <f t="shared" si="10"/>
        <v>40098</v>
      </c>
      <c r="B238" s="23" t="s">
        <v>40</v>
      </c>
      <c r="C238" s="8" t="s">
        <v>19</v>
      </c>
      <c r="D238" s="62" t="str">
        <f>IF(TB_IO!B21=""," ",TB_IO!B21)</f>
        <v>GD01 Gas Detector- Comp side</v>
      </c>
      <c r="E238" s="18" t="str">
        <f>IF(TB_IO!L21=""," ",TB_IO!L21)</f>
        <v xml:space="preserve"> </v>
      </c>
      <c r="F238" s="18"/>
      <c r="G238" s="18"/>
    </row>
    <row r="239" spans="1:7" x14ac:dyDescent="0.2">
      <c r="A239" s="22">
        <f t="shared" si="10"/>
        <v>40099</v>
      </c>
      <c r="B239" s="23" t="s">
        <v>41</v>
      </c>
      <c r="C239" s="8" t="s">
        <v>19</v>
      </c>
      <c r="D239" s="62" t="str">
        <f>IF(TB_IO!B22=""," ",TB_IO!B22)</f>
        <v>GD012 Gas Detector- Engine side</v>
      </c>
      <c r="E239" s="18" t="str">
        <f>IF(TB_IO!L22=""," ",TB_IO!L22)</f>
        <v xml:space="preserve"> </v>
      </c>
      <c r="F239" s="18"/>
      <c r="G239" s="18"/>
    </row>
    <row r="240" spans="1:7" x14ac:dyDescent="0.2">
      <c r="A240" s="22">
        <f t="shared" si="10"/>
        <v>40100</v>
      </c>
      <c r="B240" s="23" t="s">
        <v>42</v>
      </c>
      <c r="C240" s="8" t="s">
        <v>19</v>
      </c>
      <c r="D240" s="62" t="str">
        <f>IF(TB_IO!B23=""," ",TB_IO!B23)</f>
        <v xml:space="preserve"> </v>
      </c>
      <c r="E240" s="18" t="str">
        <f>IF(TB_IO!L23=""," ",TB_IO!L23)</f>
        <v xml:space="preserve"> </v>
      </c>
      <c r="F240" s="18"/>
      <c r="G240" s="18"/>
    </row>
    <row r="241" spans="1:7" x14ac:dyDescent="0.2">
      <c r="A241" s="22">
        <f t="shared" si="10"/>
        <v>40101</v>
      </c>
      <c r="B241" s="23" t="s">
        <v>43</v>
      </c>
      <c r="C241" s="8" t="s">
        <v>19</v>
      </c>
      <c r="D241" s="62" t="str">
        <f>IF(TB_IO!B24=""," ",TB_IO!B24)</f>
        <v xml:space="preserve"> </v>
      </c>
      <c r="E241" s="18" t="str">
        <f>IF(TB_IO!L24=""," ",TB_IO!L24)</f>
        <v xml:space="preserve"> </v>
      </c>
      <c r="F241" s="18"/>
      <c r="G241" s="18"/>
    </row>
    <row r="242" spans="1:7" x14ac:dyDescent="0.2">
      <c r="A242" s="22">
        <f t="shared" si="10"/>
        <v>40102</v>
      </c>
      <c r="B242" s="23" t="s">
        <v>44</v>
      </c>
      <c r="C242" s="8" t="s">
        <v>19</v>
      </c>
      <c r="D242" s="62" t="str">
        <f>IF(TB_IO!B25=""," ",TB_IO!B25)</f>
        <v xml:space="preserve"> </v>
      </c>
      <c r="E242" s="18" t="str">
        <f>IF(TB_IO!L25=""," ",TB_IO!L25)</f>
        <v xml:space="preserve"> </v>
      </c>
      <c r="F242" s="18"/>
      <c r="G242" s="18"/>
    </row>
    <row r="243" spans="1:7" x14ac:dyDescent="0.2">
      <c r="A243" s="22">
        <f t="shared" si="10"/>
        <v>40103</v>
      </c>
      <c r="B243" s="23" t="s">
        <v>45</v>
      </c>
      <c r="C243" s="8" t="s">
        <v>19</v>
      </c>
      <c r="D243" s="62" t="str">
        <f>IF(TB_IO!B26=""," ",TB_IO!B26)</f>
        <v xml:space="preserve"> </v>
      </c>
      <c r="E243" s="18" t="str">
        <f>IF(TB_IO!L26=""," ",TB_IO!L26)</f>
        <v xml:space="preserve"> </v>
      </c>
      <c r="F243" s="18"/>
      <c r="G243" s="18"/>
    </row>
    <row r="244" spans="1:7" x14ac:dyDescent="0.2">
      <c r="A244" s="22">
        <f t="shared" si="10"/>
        <v>40104</v>
      </c>
      <c r="B244" s="23" t="s">
        <v>46</v>
      </c>
      <c r="C244" s="8" t="s">
        <v>19</v>
      </c>
      <c r="D244" s="62" t="str">
        <f>IF(TB_IO!B27=""," ",TB_IO!B27)</f>
        <v xml:space="preserve"> </v>
      </c>
      <c r="E244" s="18" t="str">
        <f>IF(TB_IO!L27=""," ",TB_IO!L27)</f>
        <v xml:space="preserve"> </v>
      </c>
      <c r="F244" s="18"/>
      <c r="G244" s="18"/>
    </row>
    <row r="245" spans="1:7" x14ac:dyDescent="0.2">
      <c r="A245" s="22">
        <f t="shared" si="10"/>
        <v>40105</v>
      </c>
      <c r="B245" s="23" t="s">
        <v>47</v>
      </c>
      <c r="C245" s="8" t="s">
        <v>19</v>
      </c>
      <c r="D245" s="62" t="str">
        <f>IF(TB_IO!B28=""," ",TB_IO!B28)</f>
        <v xml:space="preserve"> </v>
      </c>
      <c r="E245" s="18" t="str">
        <f>IF(TB_IO!L28=""," ",TB_IO!L28)</f>
        <v xml:space="preserve"> </v>
      </c>
      <c r="F245" s="18"/>
      <c r="G245" s="18"/>
    </row>
    <row r="246" spans="1:7" x14ac:dyDescent="0.2">
      <c r="A246" s="22">
        <f t="shared" si="10"/>
        <v>40106</v>
      </c>
      <c r="B246" s="23" t="s">
        <v>48</v>
      </c>
      <c r="C246" s="8" t="s">
        <v>19</v>
      </c>
      <c r="D246" s="62" t="str">
        <f>IF(TB_IO!B29=""," ",TB_IO!B29)</f>
        <v>Lube No Flow switch</v>
      </c>
      <c r="E246" s="18" t="str">
        <f>IF(TB_IO!L29=""," ",TB_IO!L29)</f>
        <v xml:space="preserve"> </v>
      </c>
      <c r="F246" s="18"/>
      <c r="G246" s="18"/>
    </row>
    <row r="247" spans="1:7" x14ac:dyDescent="0.2">
      <c r="A247" s="22">
        <f t="shared" si="10"/>
        <v>40107</v>
      </c>
      <c r="B247" s="23" t="s">
        <v>49</v>
      </c>
      <c r="C247" s="8" t="s">
        <v>19</v>
      </c>
      <c r="D247" s="62" t="str">
        <f>IF(TB_IO!B30=""," ",TB_IO!B30)</f>
        <v>Engine Oil Level LSLL</v>
      </c>
      <c r="E247" s="18" t="str">
        <f>IF(TB_IO!L30=""," ",TB_IO!L30)</f>
        <v xml:space="preserve"> </v>
      </c>
      <c r="F247" s="18"/>
      <c r="G247" s="18"/>
    </row>
    <row r="248" spans="1:7" x14ac:dyDescent="0.2">
      <c r="A248" s="22">
        <f t="shared" si="10"/>
        <v>40108</v>
      </c>
      <c r="B248" s="23" t="s">
        <v>50</v>
      </c>
      <c r="C248" s="8" t="s">
        <v>19</v>
      </c>
      <c r="D248" s="62" t="str">
        <f>IF(TB_IO!B31=""," ",TB_IO!B31)</f>
        <v>Compressor Oil Level LSLL</v>
      </c>
      <c r="E248" s="18" t="str">
        <f>IF(TB_IO!L31=""," ",TB_IO!L31)</f>
        <v xml:space="preserve"> </v>
      </c>
      <c r="F248" s="18"/>
      <c r="G248" s="18"/>
    </row>
    <row r="249" spans="1:7" x14ac:dyDescent="0.2">
      <c r="A249" s="22">
        <f t="shared" si="10"/>
        <v>40109</v>
      </c>
      <c r="B249" s="23" t="s">
        <v>51</v>
      </c>
      <c r="C249" s="8" t="s">
        <v>19</v>
      </c>
      <c r="D249" s="62" t="str">
        <f>IF(TB_IO!B32=""," ",TB_IO!B32)</f>
        <v>Engine JW water Level LSLL</v>
      </c>
      <c r="E249" s="18" t="str">
        <f>IF(TB_IO!L32=""," ",TB_IO!L32)</f>
        <v xml:space="preserve"> </v>
      </c>
      <c r="F249" s="18"/>
      <c r="G249" s="18"/>
    </row>
    <row r="250" spans="1:7" x14ac:dyDescent="0.2">
      <c r="A250" s="22">
        <f t="shared" si="10"/>
        <v>40110</v>
      </c>
      <c r="B250" s="23" t="s">
        <v>52</v>
      </c>
      <c r="C250" s="8" t="s">
        <v>19</v>
      </c>
      <c r="D250" s="62" t="str">
        <f>IF(TB_IO!B33=""," ",TB_IO!B33)</f>
        <v>Engine Aux Water Level LSLL</v>
      </c>
      <c r="E250" s="18" t="str">
        <f>IF(TB_IO!L33=""," ",TB_IO!L33)</f>
        <v xml:space="preserve"> </v>
      </c>
      <c r="F250" s="18"/>
      <c r="G250" s="18"/>
    </row>
    <row r="251" spans="1:7" x14ac:dyDescent="0.2">
      <c r="A251" s="22">
        <f t="shared" si="10"/>
        <v>40111</v>
      </c>
      <c r="B251" s="23" t="s">
        <v>53</v>
      </c>
      <c r="C251" s="8" t="s">
        <v>19</v>
      </c>
      <c r="D251" s="62" t="str">
        <f>IF(TB_IO!B34=""," ",TB_IO!B34)</f>
        <v>Cooler Vibration VSHH</v>
      </c>
      <c r="E251" s="18" t="str">
        <f>IF(TB_IO!L34=""," ",TB_IO!L34)</f>
        <v xml:space="preserve"> </v>
      </c>
      <c r="F251" s="18"/>
      <c r="G251" s="18"/>
    </row>
    <row r="252" spans="1:7" x14ac:dyDescent="0.2">
      <c r="A252" s="22">
        <f t="shared" si="10"/>
        <v>40112</v>
      </c>
      <c r="B252" s="23" t="s">
        <v>54</v>
      </c>
      <c r="C252" s="8" t="s">
        <v>19</v>
      </c>
      <c r="D252" s="62" t="str">
        <f>IF(TB_IO!B35=""," ",TB_IO!B35)</f>
        <v>Compressor Vibration VSHH</v>
      </c>
      <c r="E252" s="18" t="str">
        <f>IF(TB_IO!L35=""," ",TB_IO!L35)</f>
        <v xml:space="preserve"> </v>
      </c>
      <c r="F252" s="18"/>
      <c r="G252" s="18"/>
    </row>
    <row r="253" spans="1:7" x14ac:dyDescent="0.2">
      <c r="A253" s="22">
        <f t="shared" si="10"/>
        <v>40113</v>
      </c>
      <c r="B253" s="23" t="s">
        <v>55</v>
      </c>
      <c r="C253" s="8" t="s">
        <v>19</v>
      </c>
      <c r="D253" s="62" t="str">
        <f>IF(TB_IO!B36=""," ",TB_IO!B36)</f>
        <v>Engine Vibration VSHH</v>
      </c>
      <c r="E253" s="18" t="str">
        <f>IF(TB_IO!L36=""," ",TB_IO!L36)</f>
        <v xml:space="preserve"> </v>
      </c>
      <c r="F253" s="18"/>
      <c r="G253" s="18"/>
    </row>
    <row r="254" spans="1:7" x14ac:dyDescent="0.2">
      <c r="A254" s="22">
        <f t="shared" si="10"/>
        <v>40114</v>
      </c>
      <c r="B254" s="23" t="s">
        <v>56</v>
      </c>
      <c r="C254" s="8" t="s">
        <v>19</v>
      </c>
      <c r="D254" s="62" t="str">
        <f>IF(TB_IO!B37=""," ",TB_IO!B37)</f>
        <v>1st STG Scrubber Level HIGH</v>
      </c>
      <c r="E254" s="18" t="str">
        <f>IF(TB_IO!L37=""," ",TB_IO!L37)</f>
        <v xml:space="preserve"> </v>
      </c>
      <c r="F254" s="18"/>
      <c r="G254" s="18"/>
    </row>
    <row r="255" spans="1:7" x14ac:dyDescent="0.2">
      <c r="A255" s="22">
        <f t="shared" si="10"/>
        <v>40115</v>
      </c>
      <c r="B255" s="23" t="s">
        <v>57</v>
      </c>
      <c r="C255" s="8" t="s">
        <v>19</v>
      </c>
      <c r="D255" s="62" t="str">
        <f>IF(TB_IO!B38=""," ",TB_IO!B38)</f>
        <v>2nd Stg Scrubber Level HIGH</v>
      </c>
      <c r="E255" s="18" t="str">
        <f>IF(TB_IO!L38=""," ",TB_IO!L38)</f>
        <v xml:space="preserve"> </v>
      </c>
      <c r="F255" s="18"/>
      <c r="G255" s="18"/>
    </row>
    <row r="256" spans="1:7" x14ac:dyDescent="0.2">
      <c r="A256" s="22">
        <f>A255+1</f>
        <v>40116</v>
      </c>
      <c r="B256" s="23" t="s">
        <v>58</v>
      </c>
      <c r="C256" s="8" t="s">
        <v>19</v>
      </c>
      <c r="D256" s="62" t="str">
        <f>IF(TB_IO!B39=""," ",TB_IO!B39)</f>
        <v>3rd STG Scrubber Level HIGH</v>
      </c>
      <c r="E256" s="18" t="str">
        <f>IF(TB_IO!L39=""," ",TB_IO!L39)</f>
        <v xml:space="preserve"> </v>
      </c>
      <c r="F256" s="18"/>
      <c r="G256" s="18"/>
    </row>
    <row r="257" spans="1:7" x14ac:dyDescent="0.2">
      <c r="A257" s="22">
        <f t="shared" si="10"/>
        <v>40117</v>
      </c>
      <c r="B257" s="23" t="s">
        <v>59</v>
      </c>
      <c r="C257" s="8" t="s">
        <v>19</v>
      </c>
      <c r="D257" s="62" t="str">
        <f>IF(TB_IO!B40=""," ",TB_IO!B40)</f>
        <v>CEC DSM Fault</v>
      </c>
      <c r="E257" s="18" t="str">
        <f>IF(TB_IO!L40=""," ",TB_IO!L40)</f>
        <v xml:space="preserve"> </v>
      </c>
      <c r="F257" s="18"/>
      <c r="G257" s="18"/>
    </row>
    <row r="258" spans="1:7" x14ac:dyDescent="0.2">
      <c r="A258" s="22">
        <f t="shared" si="10"/>
        <v>40118</v>
      </c>
      <c r="B258" s="23" t="s">
        <v>60</v>
      </c>
      <c r="C258" s="8" t="s">
        <v>19</v>
      </c>
      <c r="D258" s="62" t="str">
        <f>IF(TB_IO!B41=""," ",TB_IO!B41)</f>
        <v>Engine Started</v>
      </c>
      <c r="E258" s="18" t="str">
        <f>IF(TB_IO!L41=""," ",TB_IO!L41)</f>
        <v xml:space="preserve"> </v>
      </c>
      <c r="F258" s="18"/>
      <c r="G258" s="18"/>
    </row>
    <row r="259" spans="1:7" x14ac:dyDescent="0.2">
      <c r="A259" s="22">
        <f t="shared" si="10"/>
        <v>40119</v>
      </c>
      <c r="B259" s="23" t="s">
        <v>61</v>
      </c>
      <c r="C259" s="8" t="s">
        <v>19</v>
      </c>
      <c r="D259" s="62" t="str">
        <f>IF(TB_IO!B42=""," ",TB_IO!B42)</f>
        <v>Remote Stop USD</v>
      </c>
      <c r="E259" s="18" t="str">
        <f>IF(TB_IO!L42=""," ",TB_IO!L42)</f>
        <v xml:space="preserve"> </v>
      </c>
      <c r="F259" s="18"/>
      <c r="G259" s="18"/>
    </row>
    <row r="260" spans="1:7" x14ac:dyDescent="0.2">
      <c r="A260" s="22">
        <f>A259+1</f>
        <v>40120</v>
      </c>
      <c r="B260" s="23" t="s">
        <v>62</v>
      </c>
      <c r="C260" s="8" t="s">
        <v>19</v>
      </c>
      <c r="D260" s="62" t="str">
        <f>IF(TB_IO!B43=""," ",TB_IO!B43)</f>
        <v>Station ESD</v>
      </c>
      <c r="E260" s="18" t="str">
        <f>IF(TB_IO!L43=""," ",TB_IO!L43)</f>
        <v xml:space="preserve"> </v>
      </c>
      <c r="F260" s="18"/>
      <c r="G260" s="18"/>
    </row>
    <row r="261" spans="1:7" x14ac:dyDescent="0.2">
      <c r="A261" s="22">
        <f t="shared" si="10"/>
        <v>40121</v>
      </c>
      <c r="B261" s="23" t="s">
        <v>63</v>
      </c>
      <c r="C261" s="8" t="s">
        <v>19</v>
      </c>
      <c r="D261" s="62" t="str">
        <f>IF(TB_IO!B44=""," ",TB_IO!B44)</f>
        <v>Panel Emergency Stop</v>
      </c>
      <c r="E261" s="18" t="str">
        <f>IF(TB_IO!L44=""," ",TB_IO!L44)</f>
        <v xml:space="preserve"> </v>
      </c>
      <c r="F261" s="18"/>
      <c r="G261" s="18"/>
    </row>
    <row r="262" spans="1:7" x14ac:dyDescent="0.2">
      <c r="A262" s="22">
        <f t="shared" si="10"/>
        <v>40122</v>
      </c>
      <c r="B262" s="23" t="s">
        <v>64</v>
      </c>
      <c r="C262" s="8" t="s">
        <v>19</v>
      </c>
      <c r="D262" s="62" t="str">
        <f>IF(TB_IO!B64=""," ",TB_IO!B64)</f>
        <v>COMPRESSOR OIL TEMP</v>
      </c>
      <c r="E262" s="18" t="str">
        <f>IF(TB_IO!L64=""," ",TB_IO!L64)</f>
        <v xml:space="preserve"> </v>
      </c>
      <c r="F262" s="18"/>
      <c r="G262" s="18"/>
    </row>
    <row r="263" spans="1:7" x14ac:dyDescent="0.2">
      <c r="A263" s="22">
        <f t="shared" si="10"/>
        <v>40123</v>
      </c>
      <c r="B263" s="23" t="s">
        <v>65</v>
      </c>
      <c r="C263" s="8" t="s">
        <v>19</v>
      </c>
      <c r="D263" s="62" t="str">
        <f>IF(TB_IO!B65=""," ",TB_IO!B65)</f>
        <v>CYL#1 DISCHARGE TEMP</v>
      </c>
      <c r="E263" s="18" t="str">
        <f>IF(TB_IO!L65=""," ",TB_IO!L65)</f>
        <v xml:space="preserve"> </v>
      </c>
      <c r="F263" s="18"/>
      <c r="G263" s="18"/>
    </row>
    <row r="264" spans="1:7" x14ac:dyDescent="0.2">
      <c r="A264" s="22">
        <f t="shared" si="10"/>
        <v>40124</v>
      </c>
      <c r="B264" s="23" t="s">
        <v>66</v>
      </c>
      <c r="C264" s="8" t="s">
        <v>19</v>
      </c>
      <c r="D264" s="62" t="str">
        <f>IF(TB_IO!B66=""," ",TB_IO!B66)</f>
        <v>CYL#2 DISCHARGE TEMP</v>
      </c>
      <c r="E264" s="18" t="str">
        <f>IF(TB_IO!L66=""," ",TB_IO!L66)</f>
        <v xml:space="preserve"> </v>
      </c>
      <c r="F264" s="18"/>
      <c r="G264" s="18"/>
    </row>
    <row r="265" spans="1:7" x14ac:dyDescent="0.2">
      <c r="A265" s="22">
        <f t="shared" si="10"/>
        <v>40125</v>
      </c>
      <c r="B265" s="23" t="s">
        <v>67</v>
      </c>
      <c r="C265" s="8" t="s">
        <v>19</v>
      </c>
      <c r="D265" s="62" t="str">
        <f>IF(TB_IO!B67=""," ",TB_IO!B67)</f>
        <v>CYL#3 DISCHARGE TEMP</v>
      </c>
      <c r="E265" s="18" t="str">
        <f>IF(TB_IO!L67=""," ",TB_IO!L67)</f>
        <v xml:space="preserve"> </v>
      </c>
      <c r="F265" s="18"/>
      <c r="G265" s="18"/>
    </row>
    <row r="266" spans="1:7" x14ac:dyDescent="0.2">
      <c r="A266" s="22">
        <f t="shared" si="10"/>
        <v>40126</v>
      </c>
      <c r="B266" s="23" t="s">
        <v>68</v>
      </c>
      <c r="C266" s="8" t="s">
        <v>19</v>
      </c>
      <c r="D266" s="62" t="str">
        <f>IF(TB_IO!B68=""," ",TB_IO!B68)</f>
        <v>CYL#4 DISCHARGE TEMP</v>
      </c>
      <c r="E266" s="18" t="str">
        <f>IF(TB_IO!L68=""," ",TB_IO!L68)</f>
        <v xml:space="preserve"> </v>
      </c>
      <c r="F266" s="18"/>
      <c r="G266" s="18"/>
    </row>
    <row r="267" spans="1:7" x14ac:dyDescent="0.2">
      <c r="A267" s="22">
        <f t="shared" si="10"/>
        <v>40127</v>
      </c>
      <c r="B267" s="23" t="s">
        <v>69</v>
      </c>
      <c r="C267" s="8" t="s">
        <v>19</v>
      </c>
      <c r="D267" s="62" t="str">
        <f>IF(TB_IO!B69=""," ",TB_IO!B69)</f>
        <v xml:space="preserve"> </v>
      </c>
      <c r="E267" s="18" t="str">
        <f>IF(TB_IO!L69=""," ",TB_IO!L69)</f>
        <v xml:space="preserve"> </v>
      </c>
      <c r="F267" s="18"/>
      <c r="G267" s="18"/>
    </row>
    <row r="268" spans="1:7" x14ac:dyDescent="0.2">
      <c r="A268" s="22">
        <f t="shared" si="10"/>
        <v>40128</v>
      </c>
      <c r="B268" s="23" t="s">
        <v>70</v>
      </c>
      <c r="C268" s="8" t="s">
        <v>19</v>
      </c>
      <c r="D268" s="62" t="str">
        <f>IF(TB_IO!B70=""," ",TB_IO!B70)</f>
        <v xml:space="preserve"> </v>
      </c>
      <c r="E268" s="18" t="str">
        <f>IF(TB_IO!L70=""," ",TB_IO!L70)</f>
        <v xml:space="preserve"> </v>
      </c>
      <c r="F268" s="18"/>
      <c r="G268" s="18"/>
    </row>
    <row r="269" spans="1:7" x14ac:dyDescent="0.2">
      <c r="A269" s="22">
        <f t="shared" si="10"/>
        <v>40129</v>
      </c>
      <c r="B269" s="23" t="s">
        <v>71</v>
      </c>
      <c r="C269" s="8" t="s">
        <v>19</v>
      </c>
      <c r="D269" s="62" t="str">
        <f>IF(TB_IO!B71=""," ",TB_IO!B71)</f>
        <v xml:space="preserve"> </v>
      </c>
      <c r="E269" s="18" t="str">
        <f>IF(TB_IO!L71=""," ",TB_IO!L71)</f>
        <v xml:space="preserve"> </v>
      </c>
      <c r="F269" s="18"/>
      <c r="G269" s="18"/>
    </row>
    <row r="270" spans="1:7" x14ac:dyDescent="0.2">
      <c r="A270" s="22">
        <f t="shared" si="10"/>
        <v>40130</v>
      </c>
      <c r="B270" s="23" t="s">
        <v>72</v>
      </c>
      <c r="C270" s="8" t="s">
        <v>19</v>
      </c>
      <c r="D270" s="62" t="str">
        <f>IF(TB_IO!B72=""," ",TB_IO!B72)</f>
        <v>ENGINE OIL TEMP</v>
      </c>
      <c r="E270" s="18" t="str">
        <f>IF(TB_IO!L72=""," ",TB_IO!L72)</f>
        <v xml:space="preserve"> </v>
      </c>
      <c r="F270" s="18"/>
      <c r="G270" s="18"/>
    </row>
    <row r="271" spans="1:7" x14ac:dyDescent="0.2">
      <c r="A271" s="22">
        <f t="shared" si="10"/>
        <v>40131</v>
      </c>
      <c r="B271" s="23" t="s">
        <v>73</v>
      </c>
      <c r="C271" s="8" t="s">
        <v>19</v>
      </c>
      <c r="D271" s="62" t="str">
        <f>IF(TB_IO!B73=""," ",TB_IO!B73)</f>
        <v>ENGINE JACKET WATER TEMP</v>
      </c>
      <c r="E271" s="18" t="str">
        <f>IF(TB_IO!L73=""," ",TB_IO!L73)</f>
        <v xml:space="preserve"> </v>
      </c>
      <c r="F271" s="18"/>
      <c r="G271" s="18"/>
    </row>
    <row r="272" spans="1:7" x14ac:dyDescent="0.2">
      <c r="A272" s="22">
        <f t="shared" si="10"/>
        <v>40132</v>
      </c>
      <c r="B272" s="23" t="s">
        <v>74</v>
      </c>
      <c r="C272" s="8" t="s">
        <v>19</v>
      </c>
      <c r="D272" s="62" t="str">
        <f>IF(TB_IO!B74=""," ",TB_IO!B74)</f>
        <v>Engine ESD Right Side</v>
      </c>
      <c r="E272" s="18" t="str">
        <f>IF(TB_IO!L74=""," ",TB_IO!L74)</f>
        <v xml:space="preserve"> </v>
      </c>
      <c r="F272" s="18"/>
      <c r="G272" s="18"/>
    </row>
    <row r="273" spans="1:7" x14ac:dyDescent="0.2">
      <c r="A273" s="22">
        <f t="shared" si="10"/>
        <v>40133</v>
      </c>
      <c r="B273" s="23" t="s">
        <v>75</v>
      </c>
      <c r="C273" s="8" t="s">
        <v>19</v>
      </c>
      <c r="D273" s="62" t="str">
        <f>IF(TB_IO!B75=""," ",TB_IO!B75)</f>
        <v>Engine ESD Left Side</v>
      </c>
      <c r="E273" s="18" t="str">
        <f>IF(TB_IO!L75=""," ",TB_IO!L75)</f>
        <v xml:space="preserve"> </v>
      </c>
      <c r="F273" s="18"/>
      <c r="G273" s="18"/>
    </row>
    <row r="274" spans="1:7" x14ac:dyDescent="0.2">
      <c r="A274" s="22">
        <f t="shared" si="10"/>
        <v>40134</v>
      </c>
      <c r="B274" s="23" t="s">
        <v>76</v>
      </c>
      <c r="C274" s="8" t="s">
        <v>19</v>
      </c>
      <c r="D274" s="62" t="str">
        <f>IF(TB_IO!B76=""," ",TB_IO!B76)</f>
        <v xml:space="preserve"> </v>
      </c>
      <c r="E274" s="18" t="str">
        <f>IF(TB_IO!L76=""," ",TB_IO!L76)</f>
        <v xml:space="preserve"> </v>
      </c>
      <c r="F274" s="18"/>
      <c r="G274" s="18"/>
    </row>
    <row r="275" spans="1:7" x14ac:dyDescent="0.2">
      <c r="A275" s="22">
        <f t="shared" si="10"/>
        <v>40135</v>
      </c>
      <c r="B275" s="23" t="s">
        <v>77</v>
      </c>
      <c r="C275" s="8" t="s">
        <v>19</v>
      </c>
      <c r="D275" s="62" t="str">
        <f>IF(TB_IO!B77=""," ",TB_IO!B77)</f>
        <v xml:space="preserve"> </v>
      </c>
      <c r="E275" s="18" t="str">
        <f>IF(TB_IO!L77=""," ",TB_IO!L77)</f>
        <v xml:space="preserve"> </v>
      </c>
      <c r="F275" s="18"/>
      <c r="G275" s="18"/>
    </row>
    <row r="276" spans="1:7" x14ac:dyDescent="0.2">
      <c r="A276" s="22">
        <f t="shared" si="10"/>
        <v>40136</v>
      </c>
      <c r="B276" s="23" t="s">
        <v>78</v>
      </c>
      <c r="C276" s="8" t="s">
        <v>19</v>
      </c>
      <c r="D276" s="62" t="str">
        <f>IF(TB_IO!B78=""," ",TB_IO!B78)</f>
        <v xml:space="preserve"> </v>
      </c>
      <c r="E276" s="18" t="str">
        <f>IF(TB_IO!L78=""," ",TB_IO!L78)</f>
        <v xml:space="preserve"> </v>
      </c>
      <c r="F276" s="18"/>
      <c r="G276" s="18"/>
    </row>
    <row r="277" spans="1:7" x14ac:dyDescent="0.2">
      <c r="A277" s="22">
        <f t="shared" si="10"/>
        <v>40137</v>
      </c>
      <c r="B277" s="23" t="s">
        <v>79</v>
      </c>
      <c r="C277" s="8" t="s">
        <v>19</v>
      </c>
      <c r="D277" s="62" t="str">
        <f>IF(TB_IO!B79=""," ",TB_IO!B79)</f>
        <v xml:space="preserve"> </v>
      </c>
      <c r="E277" s="18" t="str">
        <f>IF(TB_IO!L79=""," ",TB_IO!L79)</f>
        <v xml:space="preserve"> </v>
      </c>
      <c r="F277" s="18"/>
      <c r="G277" s="18"/>
    </row>
    <row r="278" spans="1:7" x14ac:dyDescent="0.2">
      <c r="A278" s="22">
        <f t="shared" si="10"/>
        <v>40138</v>
      </c>
      <c r="B278" s="23" t="s">
        <v>80</v>
      </c>
      <c r="C278" s="8" t="s">
        <v>19</v>
      </c>
      <c r="D278" s="62" t="str">
        <f>IF(TB_IO!B80=""," ",TB_IO!B80)</f>
        <v>ENGINE EXHAUST CYL 1 Left</v>
      </c>
      <c r="E278" s="18" t="str">
        <f>IF(TB_IO!L80=""," ",TB_IO!L80)</f>
        <v xml:space="preserve"> </v>
      </c>
      <c r="F278" s="18"/>
      <c r="G278" s="18"/>
    </row>
    <row r="279" spans="1:7" x14ac:dyDescent="0.2">
      <c r="A279" s="22">
        <f t="shared" si="10"/>
        <v>40139</v>
      </c>
      <c r="B279" s="23" t="s">
        <v>81</v>
      </c>
      <c r="C279" s="8" t="s">
        <v>19</v>
      </c>
      <c r="D279" s="62" t="str">
        <f>IF(TB_IO!B81=""," ",TB_IO!B81)</f>
        <v>ENGINE EXHAUST CYL 2 Left</v>
      </c>
      <c r="E279" s="18" t="str">
        <f>IF(TB_IO!L81=""," ",TB_IO!L81)</f>
        <v xml:space="preserve"> </v>
      </c>
      <c r="F279" s="18"/>
      <c r="G279" s="18"/>
    </row>
    <row r="280" spans="1:7" x14ac:dyDescent="0.2">
      <c r="A280" s="22">
        <f t="shared" si="10"/>
        <v>40140</v>
      </c>
      <c r="B280" s="23" t="s">
        <v>82</v>
      </c>
      <c r="C280" s="8" t="s">
        <v>19</v>
      </c>
      <c r="D280" s="62" t="str">
        <f>IF(TB_IO!B82=""," ",TB_IO!B82)</f>
        <v>ENGINE EXHAUST CYL 3 Left</v>
      </c>
      <c r="E280" s="18" t="str">
        <f>IF(TB_IO!L82=""," ",TB_IO!L82)</f>
        <v xml:space="preserve"> </v>
      </c>
      <c r="F280" s="18"/>
      <c r="G280" s="18"/>
    </row>
    <row r="281" spans="1:7" x14ac:dyDescent="0.2">
      <c r="A281" s="22">
        <f t="shared" si="10"/>
        <v>40141</v>
      </c>
      <c r="B281" s="23" t="s">
        <v>83</v>
      </c>
      <c r="C281" s="8" t="s">
        <v>19</v>
      </c>
      <c r="D281" s="62" t="str">
        <f>IF(TB_IO!B83=""," ",TB_IO!B83)</f>
        <v>ENGINE EXHAUST CYL 4 Left</v>
      </c>
      <c r="E281" s="18" t="str">
        <f>IF(TB_IO!L83=""," ",TB_IO!L83)</f>
        <v xml:space="preserve"> </v>
      </c>
      <c r="F281" s="18"/>
      <c r="G281" s="18"/>
    </row>
    <row r="282" spans="1:7" x14ac:dyDescent="0.2">
      <c r="A282" s="22">
        <f t="shared" si="10"/>
        <v>40142</v>
      </c>
      <c r="B282" s="23" t="s">
        <v>84</v>
      </c>
      <c r="C282" s="8" t="s">
        <v>19</v>
      </c>
      <c r="D282" s="62" t="str">
        <f>IF(TB_IO!B84=""," ",TB_IO!B84)</f>
        <v>ENGINE EXHAUST CYL 5 Left</v>
      </c>
      <c r="E282" s="18" t="str">
        <f>IF(TB_IO!L84=""," ",TB_IO!L84)</f>
        <v xml:space="preserve"> </v>
      </c>
      <c r="F282" s="18"/>
      <c r="G282" s="18"/>
    </row>
    <row r="283" spans="1:7" x14ac:dyDescent="0.2">
      <c r="A283" s="22">
        <f t="shared" si="10"/>
        <v>40143</v>
      </c>
      <c r="B283" s="23" t="s">
        <v>85</v>
      </c>
      <c r="C283" s="8" t="s">
        <v>19</v>
      </c>
      <c r="D283" s="62" t="str">
        <f>IF(TB_IO!B85=""," ",TB_IO!B85)</f>
        <v>ENGINE EXHAUST CYL 6 Left</v>
      </c>
      <c r="E283" s="18" t="str">
        <f>IF(TB_IO!L85=""," ",TB_IO!L85)</f>
        <v xml:space="preserve"> </v>
      </c>
      <c r="F283" s="18"/>
      <c r="G283" s="18"/>
    </row>
    <row r="284" spans="1:7" x14ac:dyDescent="0.2">
      <c r="A284" s="22">
        <f t="shared" si="10"/>
        <v>40144</v>
      </c>
      <c r="B284" s="23" t="s">
        <v>86</v>
      </c>
      <c r="C284" s="8" t="s">
        <v>19</v>
      </c>
      <c r="D284" s="62" t="str">
        <f>IF(TB_IO!B86=""," ",TB_IO!B86)</f>
        <v>ENGINE EXHAUST CYL 1 Right</v>
      </c>
      <c r="E284" s="18" t="str">
        <f>IF(TB_IO!L86=""," ",TB_IO!L86)</f>
        <v xml:space="preserve"> </v>
      </c>
      <c r="F284" s="18"/>
      <c r="G284" s="18"/>
    </row>
    <row r="285" spans="1:7" x14ac:dyDescent="0.2">
      <c r="A285" s="22">
        <f t="shared" si="10"/>
        <v>40145</v>
      </c>
      <c r="B285" s="23" t="s">
        <v>87</v>
      </c>
      <c r="C285" s="8" t="s">
        <v>19</v>
      </c>
      <c r="D285" s="62" t="str">
        <f>IF(TB_IO!B87=""," ",TB_IO!B87)</f>
        <v>ENGINE EXHAUST CYL 2 Right</v>
      </c>
      <c r="E285" s="18" t="str">
        <f>IF(TB_IO!L87=""," ",TB_IO!L87)</f>
        <v xml:space="preserve"> </v>
      </c>
      <c r="F285" s="18"/>
      <c r="G285" s="18"/>
    </row>
    <row r="286" spans="1:7" x14ac:dyDescent="0.2">
      <c r="A286" s="22">
        <f t="shared" si="10"/>
        <v>40146</v>
      </c>
      <c r="B286" s="23" t="s">
        <v>88</v>
      </c>
      <c r="C286" s="8" t="s">
        <v>19</v>
      </c>
      <c r="D286" s="62" t="str">
        <f>IF(TB_IO!B88=""," ",TB_IO!B88)</f>
        <v>ENGINE EXHAUST CYL 3 Right</v>
      </c>
      <c r="E286" s="18" t="str">
        <f>IF(TB_IO!L88=""," ",TB_IO!L88)</f>
        <v xml:space="preserve"> </v>
      </c>
      <c r="F286" s="18"/>
      <c r="G286" s="18"/>
    </row>
    <row r="287" spans="1:7" x14ac:dyDescent="0.2">
      <c r="A287" s="22">
        <f t="shared" si="10"/>
        <v>40147</v>
      </c>
      <c r="B287" s="23" t="s">
        <v>89</v>
      </c>
      <c r="C287" s="8" t="s">
        <v>19</v>
      </c>
      <c r="D287" s="62" t="str">
        <f>IF(TB_IO!B89=""," ",TB_IO!B89)</f>
        <v>ENGINE EXHAUST CYL 4 Right</v>
      </c>
      <c r="E287" s="18" t="str">
        <f>IF(TB_IO!L89=""," ",TB_IO!L89)</f>
        <v xml:space="preserve"> </v>
      </c>
      <c r="F287" s="18"/>
      <c r="G287" s="18"/>
    </row>
    <row r="288" spans="1:7" x14ac:dyDescent="0.2">
      <c r="A288" s="22">
        <f t="shared" si="10"/>
        <v>40148</v>
      </c>
      <c r="B288" s="23" t="s">
        <v>90</v>
      </c>
      <c r="C288" s="8" t="s">
        <v>19</v>
      </c>
      <c r="D288" s="62" t="str">
        <f>IF(TB_IO!B90=""," ",TB_IO!B90)</f>
        <v>ENGINE EXHAUST CYL 5 Right</v>
      </c>
      <c r="E288" s="18" t="str">
        <f>IF(TB_IO!L90=""," ",TB_IO!L90)</f>
        <v xml:space="preserve"> </v>
      </c>
      <c r="F288" s="18"/>
      <c r="G288" s="18"/>
    </row>
    <row r="289" spans="1:7" x14ac:dyDescent="0.2">
      <c r="A289" s="22">
        <f t="shared" si="10"/>
        <v>40149</v>
      </c>
      <c r="B289" s="23" t="s">
        <v>91</v>
      </c>
      <c r="C289" s="8" t="s">
        <v>19</v>
      </c>
      <c r="D289" s="62" t="str">
        <f>IF(TB_IO!B91=""," ",TB_IO!B91)</f>
        <v>ENGINE EXHAUST CYL 6 Right</v>
      </c>
      <c r="E289" s="18" t="str">
        <f>IF(TB_IO!L91=""," ",TB_IO!L91)</f>
        <v xml:space="preserve"> </v>
      </c>
      <c r="F289" s="18"/>
      <c r="G289" s="18"/>
    </row>
    <row r="290" spans="1:7" x14ac:dyDescent="0.2">
      <c r="A290" s="22">
        <f t="shared" si="10"/>
        <v>40150</v>
      </c>
      <c r="B290" s="23" t="s">
        <v>92</v>
      </c>
      <c r="C290" s="8" t="s">
        <v>19</v>
      </c>
      <c r="D290" s="62" t="str">
        <f>IF(TB_IO!B92=""," ",TB_IO!B92)</f>
        <v>ENGINE EXHAUST PRE TURBO Left</v>
      </c>
      <c r="E290" s="18" t="str">
        <f>IF(TB_IO!L92=""," ",TB_IO!L92)</f>
        <v xml:space="preserve"> </v>
      </c>
      <c r="F290" s="18"/>
      <c r="G290" s="18"/>
    </row>
    <row r="291" spans="1:7" x14ac:dyDescent="0.2">
      <c r="A291" s="22">
        <f t="shared" si="10"/>
        <v>40151</v>
      </c>
      <c r="B291" s="23" t="s">
        <v>93</v>
      </c>
      <c r="C291" s="8" t="s">
        <v>19</v>
      </c>
      <c r="D291" s="62" t="str">
        <f>IF(TB_IO!B93=""," ",TB_IO!B93)</f>
        <v>ENGINE EXHAUST PRE TURBO Right</v>
      </c>
      <c r="E291" s="18" t="str">
        <f>IF(TB_IO!L93=""," ",TB_IO!L93)</f>
        <v xml:space="preserve"> </v>
      </c>
      <c r="F291" s="18"/>
      <c r="G291" s="18"/>
    </row>
    <row r="292" spans="1:7" x14ac:dyDescent="0.2">
      <c r="A292" s="22">
        <f t="shared" si="10"/>
        <v>40152</v>
      </c>
      <c r="B292" s="23" t="s">
        <v>94</v>
      </c>
      <c r="C292" s="8" t="s">
        <v>19</v>
      </c>
      <c r="D292" s="62" t="str">
        <f>IF(TB_IO!B94=""," ",TB_IO!B94)</f>
        <v>ENGINE AIR MANIFOLD Left</v>
      </c>
      <c r="E292" s="18" t="str">
        <f>IF(TB_IO!L94=""," ",TB_IO!L94)</f>
        <v xml:space="preserve"> </v>
      </c>
      <c r="F292" s="18"/>
      <c r="G292" s="18"/>
    </row>
    <row r="293" spans="1:7" x14ac:dyDescent="0.2">
      <c r="A293" s="22">
        <f t="shared" si="10"/>
        <v>40153</v>
      </c>
      <c r="B293" s="23" t="s">
        <v>95</v>
      </c>
      <c r="C293" s="8" t="s">
        <v>19</v>
      </c>
      <c r="D293" s="62" t="str">
        <f>IF(TB_IO!B95=""," ",TB_IO!B95)</f>
        <v>ENGINE AIR MANIFOLD Right</v>
      </c>
      <c r="E293" s="18" t="str">
        <f>IF(TB_IO!L95=""," ",TB_IO!L95)</f>
        <v xml:space="preserve"> </v>
      </c>
      <c r="F293" s="18"/>
      <c r="G293" s="18"/>
    </row>
    <row r="294" spans="1:7" hidden="1" x14ac:dyDescent="0.2">
      <c r="A294" s="22">
        <f t="shared" si="10"/>
        <v>40154</v>
      </c>
      <c r="B294" s="23" t="s">
        <v>96</v>
      </c>
      <c r="C294" s="8" t="s">
        <v>19</v>
      </c>
      <c r="D294" s="24" t="str">
        <f>IF(TB_IO!B115=""," ",TB_IO!B115)</f>
        <v xml:space="preserve"> </v>
      </c>
      <c r="E294" s="18" t="str">
        <f>IF(TB_IO!L115=""," ",TB_IO!L115)</f>
        <v xml:space="preserve"> </v>
      </c>
      <c r="F294" s="18"/>
      <c r="G294" s="18"/>
    </row>
    <row r="295" spans="1:7" hidden="1" x14ac:dyDescent="0.2">
      <c r="A295" s="22">
        <f t="shared" si="10"/>
        <v>40155</v>
      </c>
      <c r="B295" s="23" t="s">
        <v>97</v>
      </c>
      <c r="C295" s="8" t="s">
        <v>19</v>
      </c>
      <c r="D295" s="24" t="str">
        <f>IF(TB_IO!B116=""," ",TB_IO!B116)</f>
        <v xml:space="preserve"> </v>
      </c>
      <c r="E295" s="18" t="str">
        <f>IF(TB_IO!L116=""," ",TB_IO!L116)</f>
        <v xml:space="preserve"> </v>
      </c>
      <c r="F295" s="18"/>
      <c r="G295" s="18"/>
    </row>
    <row r="296" spans="1:7" hidden="1" x14ac:dyDescent="0.2">
      <c r="A296" s="22">
        <f t="shared" ref="A296:A359" si="11">A295+1</f>
        <v>40156</v>
      </c>
      <c r="B296" s="23" t="s">
        <v>98</v>
      </c>
      <c r="C296" s="8" t="s">
        <v>19</v>
      </c>
      <c r="D296" s="24" t="str">
        <f>IF(TB_IO!B117=""," ",TB_IO!B117)</f>
        <v xml:space="preserve"> </v>
      </c>
      <c r="E296" s="18" t="str">
        <f>IF(TB_IO!L117=""," ",TB_IO!L117)</f>
        <v xml:space="preserve"> </v>
      </c>
      <c r="F296" s="18"/>
      <c r="G296" s="18"/>
    </row>
    <row r="297" spans="1:7" hidden="1" x14ac:dyDescent="0.2">
      <c r="A297" s="22">
        <f t="shared" si="11"/>
        <v>40157</v>
      </c>
      <c r="B297" s="23" t="s">
        <v>99</v>
      </c>
      <c r="C297" s="8" t="s">
        <v>19</v>
      </c>
      <c r="D297" s="24" t="str">
        <f>IF(TB_IO!B118=""," ",TB_IO!B118)</f>
        <v>SUCTION PRESSURE SWITCH LOW</v>
      </c>
      <c r="E297" s="18" t="str">
        <f>IF(TB_IO!L118=""," ",TB_IO!L118)</f>
        <v xml:space="preserve"> </v>
      </c>
      <c r="F297" s="18"/>
      <c r="G297" s="18"/>
    </row>
    <row r="298" spans="1:7" hidden="1" x14ac:dyDescent="0.2">
      <c r="A298" s="22">
        <f t="shared" si="11"/>
        <v>40158</v>
      </c>
      <c r="B298" s="23" t="s">
        <v>100</v>
      </c>
      <c r="C298" s="8" t="s">
        <v>19</v>
      </c>
      <c r="D298" s="24" t="str">
        <f>IF(TB_IO!B119=""," ",TB_IO!B119)</f>
        <v>STG 1DISCHARGE PRESSURE SWITCH HIGH</v>
      </c>
      <c r="E298" s="18" t="str">
        <f>IF(TB_IO!L119=""," ",TB_IO!L119)</f>
        <v xml:space="preserve"> </v>
      </c>
      <c r="F298" s="18"/>
      <c r="G298" s="18"/>
    </row>
    <row r="299" spans="1:7" hidden="1" x14ac:dyDescent="0.2">
      <c r="A299" s="22">
        <f t="shared" si="11"/>
        <v>40159</v>
      </c>
      <c r="B299" s="23" t="s">
        <v>101</v>
      </c>
      <c r="C299" s="8" t="s">
        <v>19</v>
      </c>
      <c r="D299" s="24" t="str">
        <f>IF(TB_IO!B120=""," ",TB_IO!B120)</f>
        <v>STG 2 DISCHARGE PRESSURE SWITCH HIGH</v>
      </c>
      <c r="E299" s="18" t="str">
        <f>IF(TB_IO!L120=""," ",TB_IO!L120)</f>
        <v xml:space="preserve"> </v>
      </c>
      <c r="F299" s="18"/>
      <c r="G299" s="18"/>
    </row>
    <row r="300" spans="1:7" hidden="1" x14ac:dyDescent="0.2">
      <c r="A300" s="22">
        <f t="shared" si="11"/>
        <v>40160</v>
      </c>
      <c r="B300" s="23" t="s">
        <v>102</v>
      </c>
      <c r="C300" s="8" t="s">
        <v>19</v>
      </c>
      <c r="D300" s="24" t="str">
        <f>IF(TB_IO!B121=""," ",TB_IO!B121)</f>
        <v>COMPRESSOR LUBE OIL PRESSURE LOW SWITCH</v>
      </c>
      <c r="E300" s="18" t="str">
        <f>IF(TB_IO!L121=""," ",TB_IO!L121)</f>
        <v xml:space="preserve"> </v>
      </c>
      <c r="F300" s="18"/>
      <c r="G300" s="18"/>
    </row>
    <row r="301" spans="1:7" hidden="1" x14ac:dyDescent="0.2">
      <c r="A301" s="22">
        <f t="shared" si="11"/>
        <v>40161</v>
      </c>
      <c r="B301" s="23" t="s">
        <v>103</v>
      </c>
      <c r="C301" s="8" t="s">
        <v>19</v>
      </c>
      <c r="D301" s="24" t="str">
        <f>IF(TB_IO!B122=""," ",TB_IO!B122)</f>
        <v>CYLINDER LUBE PRESSURE LOW SWITCH</v>
      </c>
      <c r="E301" s="18" t="str">
        <f>IF(TB_IO!L122=""," ",TB_IO!L122)</f>
        <v xml:space="preserve"> </v>
      </c>
      <c r="F301" s="18"/>
      <c r="G301" s="18"/>
    </row>
    <row r="302" spans="1:7" hidden="1" x14ac:dyDescent="0.2">
      <c r="A302" s="22">
        <f t="shared" si="11"/>
        <v>40162</v>
      </c>
      <c r="B302" s="23" t="s">
        <v>104</v>
      </c>
      <c r="C302" s="8" t="s">
        <v>19</v>
      </c>
      <c r="D302" s="24" t="str">
        <f>IF(TB_IO!B123=""," ",TB_IO!B123)</f>
        <v>ENGINE JACKET WATER FLOW SWITCH</v>
      </c>
      <c r="E302" s="18" t="str">
        <f>IF(TB_IO!L123=""," ",TB_IO!L123)</f>
        <v xml:space="preserve"> </v>
      </c>
      <c r="F302" s="18"/>
      <c r="G302" s="18"/>
    </row>
    <row r="303" spans="1:7" hidden="1" x14ac:dyDescent="0.2">
      <c r="A303" s="22">
        <f t="shared" si="11"/>
        <v>40163</v>
      </c>
      <c r="B303" s="23" t="s">
        <v>105</v>
      </c>
      <c r="C303" s="8" t="s">
        <v>19</v>
      </c>
      <c r="D303" s="24" t="str">
        <f>IF(TB_IO!B124=""," ",TB_IO!B124)</f>
        <v>SPARE</v>
      </c>
      <c r="E303" s="18" t="str">
        <f>IF(TB_IO!L124=""," ",TB_IO!L124)</f>
        <v xml:space="preserve"> </v>
      </c>
      <c r="F303" s="18"/>
      <c r="G303" s="18"/>
    </row>
    <row r="304" spans="1:7" hidden="1" x14ac:dyDescent="0.2">
      <c r="A304" s="22">
        <f t="shared" si="11"/>
        <v>40164</v>
      </c>
      <c r="B304" s="23" t="s">
        <v>106</v>
      </c>
      <c r="C304" s="8" t="s">
        <v>19</v>
      </c>
      <c r="D304" s="24" t="str">
        <f>IF(TB_IO!B125=""," ",TB_IO!B125)</f>
        <v>ENGINE LUBE OIL LEVEL LOW SWITCH</v>
      </c>
      <c r="E304" s="18" t="str">
        <f>IF(TB_IO!L125=""," ",TB_IO!L125)</f>
        <v xml:space="preserve"> </v>
      </c>
      <c r="F304" s="18"/>
      <c r="G304" s="18"/>
    </row>
    <row r="305" spans="1:7" hidden="1" x14ac:dyDescent="0.2">
      <c r="A305" s="22">
        <f t="shared" si="11"/>
        <v>40165</v>
      </c>
      <c r="B305" s="23" t="s">
        <v>107</v>
      </c>
      <c r="C305" s="8" t="s">
        <v>19</v>
      </c>
      <c r="D305" s="24" t="str">
        <f>IF(TB_IO!B126=""," ",TB_IO!B126)</f>
        <v>COMP LUBE OIL LEVEL LOW SWITCH</v>
      </c>
      <c r="E305" s="18" t="str">
        <f>IF(TB_IO!L126=""," ",TB_IO!L126)</f>
        <v xml:space="preserve"> </v>
      </c>
      <c r="F305" s="18"/>
      <c r="G305" s="18"/>
    </row>
    <row r="306" spans="1:7" hidden="1" x14ac:dyDescent="0.2">
      <c r="A306" s="22">
        <f t="shared" si="11"/>
        <v>40166</v>
      </c>
      <c r="B306" s="23" t="s">
        <v>108</v>
      </c>
      <c r="C306" s="8" t="s">
        <v>19</v>
      </c>
      <c r="D306" s="24" t="str">
        <f>IF(TB_IO!B127=""," ",TB_IO!B127)</f>
        <v>STG 1 SCRUBBER LEVEL HIGH SWITCH</v>
      </c>
      <c r="E306" s="18" t="str">
        <f>IF(TB_IO!L127=""," ",TB_IO!L127)</f>
        <v xml:space="preserve"> </v>
      </c>
      <c r="F306" s="18"/>
      <c r="G306" s="18"/>
    </row>
    <row r="307" spans="1:7" hidden="1" x14ac:dyDescent="0.2">
      <c r="A307" s="22">
        <f t="shared" si="11"/>
        <v>40167</v>
      </c>
      <c r="B307" s="23" t="s">
        <v>109</v>
      </c>
      <c r="C307" s="8" t="s">
        <v>19</v>
      </c>
      <c r="D307" s="24" t="str">
        <f>IF(TB_IO!B128=""," ",TB_IO!B128)</f>
        <v>STG2 SCRUBBER LEVEL HIGH SWITCH</v>
      </c>
      <c r="E307" s="18" t="str">
        <f>IF(TB_IO!L128=""," ",TB_IO!L128)</f>
        <v xml:space="preserve"> </v>
      </c>
      <c r="F307" s="18"/>
      <c r="G307" s="18"/>
    </row>
    <row r="308" spans="1:7" hidden="1" x14ac:dyDescent="0.2">
      <c r="A308" s="22">
        <f t="shared" si="11"/>
        <v>40168</v>
      </c>
      <c r="B308" s="23" t="s">
        <v>110</v>
      </c>
      <c r="C308" s="8" t="s">
        <v>19</v>
      </c>
      <c r="D308" s="24" t="str">
        <f>IF(TB_IO!B129=""," ",TB_IO!B129)</f>
        <v>SPARE</v>
      </c>
      <c r="E308" s="18" t="str">
        <f>IF(TB_IO!L129=""," ",TB_IO!L129)</f>
        <v xml:space="preserve"> </v>
      </c>
      <c r="F308" s="18"/>
      <c r="G308" s="18"/>
    </row>
    <row r="309" spans="1:7" hidden="1" x14ac:dyDescent="0.2">
      <c r="A309" s="22">
        <f t="shared" si="11"/>
        <v>40169</v>
      </c>
      <c r="B309" s="23" t="s">
        <v>111</v>
      </c>
      <c r="C309" s="8" t="s">
        <v>19</v>
      </c>
      <c r="D309" s="24" t="str">
        <f>IF(TB_IO!B130=""," ",TB_IO!B130)</f>
        <v>SPARE</v>
      </c>
      <c r="E309" s="18" t="str">
        <f>IF(TB_IO!L130=""," ",TB_IO!L130)</f>
        <v xml:space="preserve"> </v>
      </c>
      <c r="F309" s="18"/>
      <c r="G309" s="18"/>
    </row>
    <row r="310" spans="1:7" hidden="1" x14ac:dyDescent="0.2">
      <c r="A310" s="22">
        <f t="shared" si="11"/>
        <v>40170</v>
      </c>
      <c r="B310" s="23" t="s">
        <v>112</v>
      </c>
      <c r="C310" s="8" t="s">
        <v>19</v>
      </c>
      <c r="D310" s="24" t="str">
        <f>IF(TB_IO!B131=""," ",TB_IO!B131)</f>
        <v>LUBE NO FLOW CPI FSLL</v>
      </c>
      <c r="E310" s="18" t="str">
        <f>IF(TB_IO!L131=""," ",TB_IO!L131)</f>
        <v xml:space="preserve"> </v>
      </c>
      <c r="F310" s="18"/>
      <c r="G310" s="18"/>
    </row>
    <row r="311" spans="1:7" hidden="1" x14ac:dyDescent="0.2">
      <c r="A311" s="22">
        <f t="shared" si="11"/>
        <v>40171</v>
      </c>
      <c r="B311" s="23" t="s">
        <v>113</v>
      </c>
      <c r="C311" s="8" t="s">
        <v>19</v>
      </c>
      <c r="D311" s="24" t="str">
        <f>IF(TB_IO!B132=""," ",TB_IO!B132)</f>
        <v>SPARE</v>
      </c>
      <c r="E311" s="18" t="str">
        <f>IF(TB_IO!L132=""," ",TB_IO!L132)</f>
        <v xml:space="preserve"> </v>
      </c>
      <c r="F311" s="18"/>
      <c r="G311" s="18"/>
    </row>
    <row r="312" spans="1:7" hidden="1" x14ac:dyDescent="0.2">
      <c r="A312" s="22">
        <f t="shared" si="11"/>
        <v>40172</v>
      </c>
      <c r="B312" s="23" t="s">
        <v>114</v>
      </c>
      <c r="C312" s="8" t="s">
        <v>19</v>
      </c>
      <c r="D312" s="24" t="str">
        <f>IF(TB_IO!B133=""," ",TB_IO!B133)</f>
        <v>SPARE</v>
      </c>
      <c r="E312" s="18" t="str">
        <f>IF(TB_IO!L133=""," ",TB_IO!L133)</f>
        <v xml:space="preserve"> </v>
      </c>
      <c r="F312" s="18"/>
      <c r="G312" s="18"/>
    </row>
    <row r="313" spans="1:7" hidden="1" x14ac:dyDescent="0.2">
      <c r="A313" s="22">
        <f t="shared" si="11"/>
        <v>40173</v>
      </c>
      <c r="B313" s="23" t="s">
        <v>115</v>
      </c>
      <c r="C313" s="8" t="s">
        <v>19</v>
      </c>
      <c r="D313" s="24" t="str">
        <f>IF(TB_IO!B134=""," ",TB_IO!B134)</f>
        <v>IGNITION FAULT</v>
      </c>
      <c r="E313" s="18" t="str">
        <f>IF(TB_IO!L134=""," ",TB_IO!L134)</f>
        <v xml:space="preserve"> </v>
      </c>
      <c r="F313" s="18"/>
      <c r="G313" s="18"/>
    </row>
    <row r="314" spans="1:7" hidden="1" x14ac:dyDescent="0.2">
      <c r="A314" s="22">
        <f t="shared" si="11"/>
        <v>40174</v>
      </c>
      <c r="B314" s="23" t="s">
        <v>116</v>
      </c>
      <c r="C314" s="8" t="s">
        <v>19</v>
      </c>
      <c r="D314" s="24" t="str">
        <f>IF(TB_IO!B135=""," ",TB_IO!B135)</f>
        <v>COMPRESSOR CYLINDER VIBRATION #1</v>
      </c>
      <c r="E314" s="18" t="str">
        <f>IF(TB_IO!L135=""," ",TB_IO!L135)</f>
        <v xml:space="preserve"> </v>
      </c>
      <c r="F314" s="18"/>
      <c r="G314" s="18"/>
    </row>
    <row r="315" spans="1:7" hidden="1" x14ac:dyDescent="0.2">
      <c r="A315" s="22">
        <f t="shared" si="11"/>
        <v>40175</v>
      </c>
      <c r="B315" s="23" t="s">
        <v>117</v>
      </c>
      <c r="C315" s="8" t="s">
        <v>19</v>
      </c>
      <c r="D315" s="24" t="str">
        <f>IF(TB_IO!B136=""," ",TB_IO!B136)</f>
        <v>COMPRESSOR CYLINDER VIBRATION #2</v>
      </c>
      <c r="E315" s="18" t="str">
        <f>IF(TB_IO!L136=""," ",TB_IO!L136)</f>
        <v xml:space="preserve"> </v>
      </c>
      <c r="F315" s="18"/>
      <c r="G315" s="18"/>
    </row>
    <row r="316" spans="1:7" hidden="1" x14ac:dyDescent="0.2">
      <c r="A316" s="22">
        <f t="shared" si="11"/>
        <v>40176</v>
      </c>
      <c r="B316" s="23" t="s">
        <v>118</v>
      </c>
      <c r="C316" s="8" t="s">
        <v>19</v>
      </c>
      <c r="D316" s="24" t="str">
        <f>IF(TB_IO!B137=""," ",TB_IO!B137)</f>
        <v>COMPRESSOR COOLER VIBRATION #1</v>
      </c>
      <c r="E316" s="18" t="str">
        <f>IF(TB_IO!L137=""," ",TB_IO!L137)</f>
        <v xml:space="preserve"> </v>
      </c>
      <c r="F316" s="18"/>
      <c r="G316" s="18"/>
    </row>
    <row r="317" spans="1:7" hidden="1" x14ac:dyDescent="0.2">
      <c r="A317" s="22">
        <f t="shared" si="11"/>
        <v>40177</v>
      </c>
      <c r="B317" s="23" t="s">
        <v>119</v>
      </c>
      <c r="C317" s="8" t="s">
        <v>19</v>
      </c>
      <c r="D317" s="24" t="str">
        <f>IF(TB_IO!B138=""," ",TB_IO!B138)</f>
        <v>COMPRESSOR COOLER VIBRATION#2</v>
      </c>
      <c r="E317" s="18" t="str">
        <f>IF(TB_IO!L138=""," ",TB_IO!L138)</f>
        <v xml:space="preserve"> </v>
      </c>
      <c r="F317" s="18"/>
      <c r="G317" s="18"/>
    </row>
    <row r="318" spans="1:7" hidden="1" x14ac:dyDescent="0.2">
      <c r="A318" s="22">
        <f t="shared" si="11"/>
        <v>40178</v>
      </c>
      <c r="B318" s="23" t="s">
        <v>120</v>
      </c>
      <c r="C318" s="8" t="s">
        <v>19</v>
      </c>
      <c r="D318" s="24" t="str">
        <f>IF(TB_IO!B139=""," ",TB_IO!B139)</f>
        <v>SPARE</v>
      </c>
      <c r="E318" s="18" t="str">
        <f>IF(TB_IO!L139=""," ",TB_IO!L139)</f>
        <v xml:space="preserve"> </v>
      </c>
      <c r="F318" s="18"/>
      <c r="G318" s="18"/>
    </row>
    <row r="319" spans="1:7" hidden="1" x14ac:dyDescent="0.2">
      <c r="A319" s="22">
        <f t="shared" si="11"/>
        <v>40179</v>
      </c>
      <c r="B319" s="23" t="s">
        <v>121</v>
      </c>
      <c r="C319" s="8" t="s">
        <v>19</v>
      </c>
      <c r="D319" s="24" t="str">
        <f>IF(TB_IO!B140=""," ",TB_IO!B140)</f>
        <v>SPARE</v>
      </c>
      <c r="E319" s="18" t="str">
        <f>IF(TB_IO!L140=""," ",TB_IO!L140)</f>
        <v xml:space="preserve"> </v>
      </c>
      <c r="F319" s="18"/>
      <c r="G319" s="18"/>
    </row>
    <row r="320" spans="1:7" hidden="1" x14ac:dyDescent="0.2">
      <c r="A320" s="22">
        <f t="shared" si="11"/>
        <v>40180</v>
      </c>
      <c r="B320" s="23" t="s">
        <v>122</v>
      </c>
      <c r="C320" s="8" t="s">
        <v>19</v>
      </c>
      <c r="D320" s="24" t="str">
        <f>IF(TB_IO!B141=""," ",TB_IO!B141)</f>
        <v>SPARE</v>
      </c>
      <c r="E320" s="18" t="str">
        <f>IF(TB_IO!L141=""," ",TB_IO!L141)</f>
        <v xml:space="preserve"> </v>
      </c>
      <c r="F320" s="18"/>
      <c r="G320" s="18"/>
    </row>
    <row r="321" spans="1:7" hidden="1" x14ac:dyDescent="0.2">
      <c r="A321" s="22">
        <f t="shared" si="11"/>
        <v>40181</v>
      </c>
      <c r="B321" s="23" t="s">
        <v>123</v>
      </c>
      <c r="C321" s="8" t="s">
        <v>19</v>
      </c>
      <c r="D321" s="24" t="str">
        <f>IF(TB_IO!B142=""," ",TB_IO!B142)</f>
        <v>SPARE</v>
      </c>
      <c r="E321" s="18" t="str">
        <f>IF(TB_IO!L142=""," ",TB_IO!L142)</f>
        <v xml:space="preserve"> </v>
      </c>
      <c r="F321" s="18"/>
      <c r="G321" s="18"/>
    </row>
    <row r="322" spans="1:7" hidden="1" x14ac:dyDescent="0.2">
      <c r="A322" s="22">
        <f t="shared" si="11"/>
        <v>40182</v>
      </c>
      <c r="B322" s="23" t="s">
        <v>124</v>
      </c>
      <c r="C322" s="8" t="s">
        <v>19</v>
      </c>
      <c r="D322" s="24" t="str">
        <f>IF(TB_IO!B143=""," ",TB_IO!B143)</f>
        <v>SPARE</v>
      </c>
      <c r="E322" s="18" t="str">
        <f>IF(TB_IO!L143=""," ",TB_IO!L143)</f>
        <v xml:space="preserve"> </v>
      </c>
      <c r="F322" s="18"/>
      <c r="G322" s="18"/>
    </row>
    <row r="323" spans="1:7" hidden="1" x14ac:dyDescent="0.2">
      <c r="A323" s="22">
        <f t="shared" si="11"/>
        <v>40183</v>
      </c>
      <c r="B323" s="23" t="s">
        <v>125</v>
      </c>
      <c r="C323" s="8" t="s">
        <v>19</v>
      </c>
      <c r="D323" s="24" t="str">
        <f>IF(TB_IO!B144=""," ",TB_IO!B144)</f>
        <v>SPARE</v>
      </c>
      <c r="E323" s="18" t="str">
        <f>IF(TB_IO!L144=""," ",TB_IO!L144)</f>
        <v xml:space="preserve"> </v>
      </c>
      <c r="F323" s="18"/>
      <c r="G323" s="18"/>
    </row>
    <row r="324" spans="1:7" hidden="1" x14ac:dyDescent="0.2">
      <c r="A324" s="22">
        <f t="shared" si="11"/>
        <v>40184</v>
      </c>
      <c r="B324" s="23" t="s">
        <v>126</v>
      </c>
      <c r="C324" s="8" t="s">
        <v>19</v>
      </c>
      <c r="D324" s="24" t="str">
        <f>IF(TB_IO!B145=""," ",TB_IO!B145)</f>
        <v>REMOTE ESD</v>
      </c>
      <c r="E324" s="18" t="str">
        <f>IF(TB_IO!L145=""," ",TB_IO!L145)</f>
        <v xml:space="preserve"> </v>
      </c>
      <c r="F324" s="18"/>
      <c r="G324" s="18"/>
    </row>
    <row r="325" spans="1:7" hidden="1" x14ac:dyDescent="0.2">
      <c r="A325" s="22">
        <f t="shared" si="11"/>
        <v>40185</v>
      </c>
      <c r="B325" s="23" t="s">
        <v>127</v>
      </c>
      <c r="C325" s="8" t="s">
        <v>19</v>
      </c>
      <c r="D325" s="24" t="str">
        <f>IF(TB_IO!B146=""," ",TB_IO!B146)</f>
        <v>PANEL EMERGENCY STOP</v>
      </c>
      <c r="E325" s="18" t="str">
        <f>IF(TB_IO!L146=""," ",TB_IO!L146)</f>
        <v xml:space="preserve"> </v>
      </c>
      <c r="F325" s="18"/>
      <c r="G325" s="18"/>
    </row>
    <row r="326" spans="1:7" hidden="1" x14ac:dyDescent="0.2">
      <c r="A326" s="22">
        <f t="shared" si="11"/>
        <v>40186</v>
      </c>
      <c r="B326" s="23" t="s">
        <v>128</v>
      </c>
      <c r="C326" s="8" t="s">
        <v>19</v>
      </c>
      <c r="D326" s="24" t="str">
        <f>IF(TB_IO!B166=""," ",TB_IO!B166)</f>
        <v>Pre-Turbo Flywheel Exhaust Temp</v>
      </c>
      <c r="E326" s="18" t="str">
        <f>IF(TB_IO!L166=""," ",TB_IO!L166)</f>
        <v xml:space="preserve"> </v>
      </c>
      <c r="F326" s="18"/>
      <c r="G326" s="18"/>
    </row>
    <row r="327" spans="1:7" hidden="1" x14ac:dyDescent="0.2">
      <c r="A327" s="22">
        <f t="shared" si="11"/>
        <v>40187</v>
      </c>
      <c r="B327" s="23" t="s">
        <v>129</v>
      </c>
      <c r="C327" s="8" t="s">
        <v>19</v>
      </c>
      <c r="D327" s="24" t="str">
        <f>IF(TB_IO!B167=""," ",TB_IO!B167)</f>
        <v>Post Turbo Flywheel Exhaust Temp</v>
      </c>
      <c r="E327" s="18" t="str">
        <f>IF(TB_IO!L167=""," ",TB_IO!L167)</f>
        <v xml:space="preserve"> </v>
      </c>
      <c r="F327" s="18"/>
      <c r="G327" s="18"/>
    </row>
    <row r="328" spans="1:7" hidden="1" x14ac:dyDescent="0.2">
      <c r="A328" s="22">
        <f t="shared" si="11"/>
        <v>40188</v>
      </c>
      <c r="B328" s="23" t="s">
        <v>130</v>
      </c>
      <c r="C328" s="8" t="s">
        <v>19</v>
      </c>
      <c r="D328" s="24" t="str">
        <f>IF(TB_IO!B168=""," ",TB_IO!B168)</f>
        <v>Pre-Turbo Aux End Exhaust Temp</v>
      </c>
      <c r="E328" s="18" t="str">
        <f>IF(TB_IO!L168=""," ",TB_IO!L168)</f>
        <v xml:space="preserve"> </v>
      </c>
      <c r="F328" s="18"/>
      <c r="G328" s="18"/>
    </row>
    <row r="329" spans="1:7" hidden="1" x14ac:dyDescent="0.2">
      <c r="A329" s="22">
        <f t="shared" si="11"/>
        <v>40189</v>
      </c>
      <c r="B329" s="23" t="s">
        <v>131</v>
      </c>
      <c r="C329" s="8" t="s">
        <v>19</v>
      </c>
      <c r="D329" s="24" t="str">
        <f>IF(TB_IO!B169=""," ",TB_IO!B169)</f>
        <v>Post Turbo Aux End Exhaust Temp</v>
      </c>
      <c r="E329" s="18" t="str">
        <f>IF(TB_IO!L169=""," ",TB_IO!L169)</f>
        <v xml:space="preserve"> </v>
      </c>
      <c r="F329" s="18"/>
      <c r="G329" s="18"/>
    </row>
    <row r="330" spans="1:7" hidden="1" x14ac:dyDescent="0.2">
      <c r="A330" s="22">
        <f t="shared" si="11"/>
        <v>40190</v>
      </c>
      <c r="B330" s="23" t="s">
        <v>132</v>
      </c>
      <c r="C330" s="8" t="s">
        <v>19</v>
      </c>
      <c r="D330" s="24" t="str">
        <f>IF(TB_IO!B170=""," ",TB_IO!B170)</f>
        <v>Engine Bearing 1 Temp</v>
      </c>
      <c r="E330" s="18" t="str">
        <f>IF(TB_IO!L170=""," ",TB_IO!L170)</f>
        <v xml:space="preserve"> </v>
      </c>
      <c r="F330" s="18"/>
      <c r="G330" s="18"/>
    </row>
    <row r="331" spans="1:7" hidden="1" x14ac:dyDescent="0.2">
      <c r="A331" s="22">
        <f t="shared" si="11"/>
        <v>40191</v>
      </c>
      <c r="B331" s="23" t="s">
        <v>133</v>
      </c>
      <c r="C331" s="8" t="s">
        <v>19</v>
      </c>
      <c r="D331" s="24" t="str">
        <f>IF(TB_IO!B171=""," ",TB_IO!B171)</f>
        <v>Engine Bearing 2 Temp</v>
      </c>
      <c r="E331" s="18" t="str">
        <f>IF(TB_IO!L171=""," ",TB_IO!L171)</f>
        <v xml:space="preserve"> </v>
      </c>
      <c r="F331" s="18"/>
      <c r="G331" s="18"/>
    </row>
    <row r="332" spans="1:7" hidden="1" x14ac:dyDescent="0.2">
      <c r="A332" s="22">
        <f t="shared" si="11"/>
        <v>40192</v>
      </c>
      <c r="B332" s="23" t="s">
        <v>134</v>
      </c>
      <c r="C332" s="8" t="s">
        <v>19</v>
      </c>
      <c r="D332" s="24" t="str">
        <f>IF(TB_IO!B172=""," ",TB_IO!B172)</f>
        <v>Engine Bearing 3 Temp</v>
      </c>
      <c r="E332" s="18" t="str">
        <f>IF(TB_IO!L172=""," ",TB_IO!L172)</f>
        <v xml:space="preserve"> </v>
      </c>
      <c r="F332" s="18"/>
      <c r="G332" s="18"/>
    </row>
    <row r="333" spans="1:7" hidden="1" x14ac:dyDescent="0.2">
      <c r="A333" s="22">
        <f t="shared" si="11"/>
        <v>40193</v>
      </c>
      <c r="B333" s="23" t="s">
        <v>135</v>
      </c>
      <c r="C333" s="8" t="s">
        <v>19</v>
      </c>
      <c r="D333" s="24" t="str">
        <f>IF(TB_IO!B173=""," ",TB_IO!B173)</f>
        <v>Engine Bearing 4 Temp</v>
      </c>
      <c r="E333" s="18" t="str">
        <f>IF(TB_IO!L173=""," ",TB_IO!L173)</f>
        <v xml:space="preserve"> </v>
      </c>
      <c r="F333" s="18"/>
      <c r="G333" s="18"/>
    </row>
    <row r="334" spans="1:7" hidden="1" x14ac:dyDescent="0.2">
      <c r="A334" s="22">
        <f t="shared" si="11"/>
        <v>40194</v>
      </c>
      <c r="B334" s="23" t="s">
        <v>136</v>
      </c>
      <c r="C334" s="8" t="s">
        <v>19</v>
      </c>
      <c r="D334" s="24" t="str">
        <f>IF(TB_IO!B174=""," ",TB_IO!B174)</f>
        <v>Engine Bearing 5 Temp</v>
      </c>
      <c r="E334" s="18" t="str">
        <f>IF(TB_IO!L174=""," ",TB_IO!L174)</f>
        <v xml:space="preserve"> </v>
      </c>
      <c r="F334" s="18"/>
      <c r="G334" s="18"/>
    </row>
    <row r="335" spans="1:7" hidden="1" x14ac:dyDescent="0.2">
      <c r="A335" s="22">
        <f t="shared" si="11"/>
        <v>40195</v>
      </c>
      <c r="B335" s="23" t="s">
        <v>137</v>
      </c>
      <c r="C335" s="8" t="s">
        <v>19</v>
      </c>
      <c r="D335" s="24" t="str">
        <f>IF(TB_IO!B175=""," ",TB_IO!B175)</f>
        <v>Engine Bearing 6 Temp</v>
      </c>
      <c r="E335" s="18" t="str">
        <f>IF(TB_IO!L175=""," ",TB_IO!L175)</f>
        <v xml:space="preserve"> </v>
      </c>
      <c r="F335" s="18"/>
      <c r="G335" s="18"/>
    </row>
    <row r="336" spans="1:7" hidden="1" x14ac:dyDescent="0.2">
      <c r="A336" s="22">
        <f t="shared" si="11"/>
        <v>40196</v>
      </c>
      <c r="B336" s="23" t="s">
        <v>138</v>
      </c>
      <c r="C336" s="8" t="s">
        <v>19</v>
      </c>
      <c r="D336" s="24" t="str">
        <f>IF(TB_IO!B176=""," ",TB_IO!B176)</f>
        <v>Engine Bearing 7 Temp</v>
      </c>
      <c r="E336" s="18" t="str">
        <f>IF(TB_IO!L176=""," ",TB_IO!L176)</f>
        <v xml:space="preserve"> </v>
      </c>
      <c r="F336" s="18"/>
      <c r="G336" s="18"/>
    </row>
    <row r="337" spans="1:7" hidden="1" x14ac:dyDescent="0.2">
      <c r="A337" s="22">
        <f t="shared" si="11"/>
        <v>40197</v>
      </c>
      <c r="B337" s="23" t="s">
        <v>139</v>
      </c>
      <c r="C337" s="8" t="s">
        <v>19</v>
      </c>
      <c r="D337" s="24" t="str">
        <f>IF(TB_IO!B177=""," ",TB_IO!B177)</f>
        <v>Engine Bearing 8 Temp</v>
      </c>
      <c r="E337" s="18" t="str">
        <f>IF(TB_IO!L177=""," ",TB_IO!L177)</f>
        <v xml:space="preserve"> </v>
      </c>
      <c r="F337" s="18"/>
      <c r="G337" s="18"/>
    </row>
    <row r="338" spans="1:7" hidden="1" x14ac:dyDescent="0.2">
      <c r="A338" s="22">
        <f t="shared" si="11"/>
        <v>40198</v>
      </c>
      <c r="B338" s="23" t="s">
        <v>140</v>
      </c>
      <c r="C338" s="8" t="s">
        <v>19</v>
      </c>
      <c r="D338" s="24" t="str">
        <f>IF(TB_IO!B178=""," ",TB_IO!B178)</f>
        <v>Engine Bearing 9 Temp</v>
      </c>
      <c r="E338" s="18" t="str">
        <f>IF(TB_IO!L178=""," ",TB_IO!L178)</f>
        <v xml:space="preserve"> </v>
      </c>
      <c r="F338" s="18"/>
      <c r="G338" s="18"/>
    </row>
    <row r="339" spans="1:7" hidden="1" x14ac:dyDescent="0.2">
      <c r="A339" s="22">
        <f t="shared" si="11"/>
        <v>40199</v>
      </c>
      <c r="B339" s="23" t="s">
        <v>141</v>
      </c>
      <c r="C339" s="8" t="s">
        <v>19</v>
      </c>
      <c r="D339" s="24" t="str">
        <f>IF(TB_IO!B179=""," ",TB_IO!B179)</f>
        <v xml:space="preserve"> </v>
      </c>
      <c r="E339" s="18" t="str">
        <f>IF(TB_IO!L179=""," ",TB_IO!L179)</f>
        <v xml:space="preserve"> </v>
      </c>
      <c r="F339" s="18"/>
      <c r="G339" s="18"/>
    </row>
    <row r="340" spans="1:7" hidden="1" x14ac:dyDescent="0.2">
      <c r="A340" s="22">
        <f t="shared" si="11"/>
        <v>40200</v>
      </c>
      <c r="B340" s="23" t="s">
        <v>142</v>
      </c>
      <c r="C340" s="8" t="s">
        <v>19</v>
      </c>
      <c r="D340" s="24" t="str">
        <f>IF(TB_IO!B180=""," ",TB_IO!B180)</f>
        <v xml:space="preserve"> </v>
      </c>
      <c r="E340" s="18" t="str">
        <f>IF(TB_IO!L180=""," ",TB_IO!L180)</f>
        <v xml:space="preserve"> </v>
      </c>
      <c r="F340" s="18"/>
      <c r="G340" s="18"/>
    </row>
    <row r="341" spans="1:7" hidden="1" x14ac:dyDescent="0.2">
      <c r="A341" s="22">
        <f t="shared" si="11"/>
        <v>40201</v>
      </c>
      <c r="B341" s="23" t="s">
        <v>143</v>
      </c>
      <c r="C341" s="8" t="s">
        <v>19</v>
      </c>
      <c r="D341" s="24" t="str">
        <f>IF(TB_IO!B181=""," ",TB_IO!B181)</f>
        <v xml:space="preserve"> </v>
      </c>
      <c r="E341" s="18" t="str">
        <f>IF(TB_IO!L181=""," ",TB_IO!L181)</f>
        <v xml:space="preserve"> </v>
      </c>
      <c r="F341" s="18"/>
      <c r="G341" s="18"/>
    </row>
    <row r="342" spans="1:7" hidden="1" x14ac:dyDescent="0.2">
      <c r="A342" s="22">
        <f t="shared" si="11"/>
        <v>40202</v>
      </c>
      <c r="B342" s="23" t="s">
        <v>144</v>
      </c>
      <c r="C342" s="8" t="s">
        <v>19</v>
      </c>
      <c r="D342" s="24" t="str">
        <f>IF(TB_IO!B182=""," ",TB_IO!B182)</f>
        <v xml:space="preserve"> </v>
      </c>
      <c r="E342" s="18" t="str">
        <f>IF(TB_IO!L182=""," ",TB_IO!L182)</f>
        <v xml:space="preserve"> </v>
      </c>
      <c r="F342" s="18"/>
      <c r="G342" s="18"/>
    </row>
    <row r="343" spans="1:7" hidden="1" x14ac:dyDescent="0.2">
      <c r="A343" s="22">
        <f t="shared" si="11"/>
        <v>40203</v>
      </c>
      <c r="B343" s="23" t="s">
        <v>145</v>
      </c>
      <c r="C343" s="8" t="s">
        <v>19</v>
      </c>
      <c r="D343" s="24" t="str">
        <f>IF(TB_IO!B183=""," ",TB_IO!B183)</f>
        <v xml:space="preserve"> </v>
      </c>
      <c r="E343" s="18" t="str">
        <f>IF(TB_IO!L183=""," ",TB_IO!L183)</f>
        <v xml:space="preserve"> </v>
      </c>
      <c r="F343" s="18"/>
      <c r="G343" s="18"/>
    </row>
    <row r="344" spans="1:7" hidden="1" x14ac:dyDescent="0.2">
      <c r="A344" s="22">
        <f t="shared" si="11"/>
        <v>40204</v>
      </c>
      <c r="B344" s="23" t="s">
        <v>146</v>
      </c>
      <c r="C344" s="8" t="s">
        <v>19</v>
      </c>
      <c r="D344" s="24" t="str">
        <f>IF(TB_IO!B184=""," ",TB_IO!B184)</f>
        <v xml:space="preserve"> </v>
      </c>
      <c r="E344" s="18" t="str">
        <f>IF(TB_IO!L184=""," ",TB_IO!L184)</f>
        <v xml:space="preserve"> </v>
      </c>
      <c r="F344" s="18"/>
      <c r="G344" s="18"/>
    </row>
    <row r="345" spans="1:7" hidden="1" x14ac:dyDescent="0.2">
      <c r="A345" s="22">
        <f t="shared" si="11"/>
        <v>40205</v>
      </c>
      <c r="B345" s="23" t="s">
        <v>147</v>
      </c>
      <c r="C345" s="8" t="s">
        <v>19</v>
      </c>
      <c r="D345" s="24" t="str">
        <f>IF(TB_IO!B185=""," ",TB_IO!B185)</f>
        <v xml:space="preserve"> </v>
      </c>
      <c r="E345" s="18" t="str">
        <f>IF(TB_IO!L185=""," ",TB_IO!L185)</f>
        <v xml:space="preserve"> </v>
      </c>
      <c r="F345" s="18"/>
      <c r="G345" s="18"/>
    </row>
    <row r="346" spans="1:7" hidden="1" x14ac:dyDescent="0.2">
      <c r="A346" s="22">
        <f t="shared" si="11"/>
        <v>40206</v>
      </c>
      <c r="B346" s="23" t="s">
        <v>148</v>
      </c>
      <c r="C346" s="8" t="s">
        <v>19</v>
      </c>
      <c r="D346" s="24" t="str">
        <f>IF(TB_IO!B186=""," ",TB_IO!B186)</f>
        <v xml:space="preserve"> </v>
      </c>
      <c r="E346" s="18" t="str">
        <f>IF(TB_IO!L186=""," ",TB_IO!L186)</f>
        <v xml:space="preserve"> </v>
      </c>
      <c r="F346" s="18"/>
      <c r="G346" s="18"/>
    </row>
    <row r="347" spans="1:7" hidden="1" x14ac:dyDescent="0.2">
      <c r="A347" s="22">
        <f t="shared" si="11"/>
        <v>40207</v>
      </c>
      <c r="B347" s="23" t="s">
        <v>149</v>
      </c>
      <c r="C347" s="8" t="s">
        <v>19</v>
      </c>
      <c r="D347" s="24" t="str">
        <f>IF(TB_IO!B187=""," ",TB_IO!B187)</f>
        <v xml:space="preserve"> </v>
      </c>
      <c r="E347" s="18" t="str">
        <f>IF(TB_IO!L187=""," ",TB_IO!L187)</f>
        <v xml:space="preserve"> </v>
      </c>
      <c r="F347" s="18"/>
      <c r="G347" s="18"/>
    </row>
    <row r="348" spans="1:7" hidden="1" x14ac:dyDescent="0.2">
      <c r="A348" s="22">
        <f t="shared" si="11"/>
        <v>40208</v>
      </c>
      <c r="B348" s="23" t="s">
        <v>150</v>
      </c>
      <c r="C348" s="8" t="s">
        <v>19</v>
      </c>
      <c r="D348" s="24" t="str">
        <f>IF(TB_IO!B188=""," ",TB_IO!B188)</f>
        <v xml:space="preserve"> </v>
      </c>
      <c r="E348" s="18" t="str">
        <f>IF(TB_IO!L188=""," ",TB_IO!L188)</f>
        <v xml:space="preserve"> </v>
      </c>
      <c r="F348" s="18"/>
      <c r="G348" s="18"/>
    </row>
    <row r="349" spans="1:7" hidden="1" x14ac:dyDescent="0.2">
      <c r="A349" s="22">
        <f t="shared" si="11"/>
        <v>40209</v>
      </c>
      <c r="B349" s="23" t="s">
        <v>151</v>
      </c>
      <c r="C349" s="8" t="s">
        <v>19</v>
      </c>
      <c r="D349" s="24" t="str">
        <f>IF(TB_IO!B189=""," ",TB_IO!B189)</f>
        <v xml:space="preserve"> </v>
      </c>
      <c r="E349" s="18" t="str">
        <f>IF(TB_IO!L189=""," ",TB_IO!L189)</f>
        <v xml:space="preserve"> </v>
      </c>
      <c r="F349" s="18"/>
      <c r="G349" s="18"/>
    </row>
    <row r="350" spans="1:7" hidden="1" x14ac:dyDescent="0.2">
      <c r="A350" s="22">
        <f t="shared" si="11"/>
        <v>40210</v>
      </c>
      <c r="B350" s="23" t="s">
        <v>152</v>
      </c>
      <c r="C350" s="8" t="s">
        <v>19</v>
      </c>
      <c r="D350" s="24" t="str">
        <f>IF(TB_IO!B190=""," ",TB_IO!B190)</f>
        <v xml:space="preserve"> </v>
      </c>
      <c r="E350" s="18" t="str">
        <f>IF(TB_IO!L190=""," ",TB_IO!L190)</f>
        <v xml:space="preserve"> </v>
      </c>
      <c r="F350" s="18"/>
      <c r="G350" s="18"/>
    </row>
    <row r="351" spans="1:7" hidden="1" x14ac:dyDescent="0.2">
      <c r="A351" s="22">
        <f t="shared" si="11"/>
        <v>40211</v>
      </c>
      <c r="B351" s="23" t="s">
        <v>153</v>
      </c>
      <c r="C351" s="8" t="s">
        <v>19</v>
      </c>
      <c r="D351" s="24" t="str">
        <f>IF(TB_IO!B191=""," ",TB_IO!B191)</f>
        <v xml:space="preserve"> </v>
      </c>
      <c r="E351" s="18" t="str">
        <f>IF(TB_IO!L191=""," ",TB_IO!L191)</f>
        <v xml:space="preserve"> </v>
      </c>
      <c r="F351" s="18"/>
      <c r="G351" s="18"/>
    </row>
    <row r="352" spans="1:7" hidden="1" x14ac:dyDescent="0.2">
      <c r="A352" s="22">
        <f t="shared" si="11"/>
        <v>40212</v>
      </c>
      <c r="B352" s="23" t="s">
        <v>154</v>
      </c>
      <c r="C352" s="8" t="s">
        <v>19</v>
      </c>
      <c r="D352" s="24" t="str">
        <f>IF(TB_IO!B192=""," ",TB_IO!B192)</f>
        <v xml:space="preserve"> </v>
      </c>
      <c r="E352" s="18" t="str">
        <f>IF(TB_IO!L192=""," ",TB_IO!L192)</f>
        <v xml:space="preserve"> </v>
      </c>
      <c r="F352" s="18"/>
      <c r="G352" s="18"/>
    </row>
    <row r="353" spans="1:7" hidden="1" x14ac:dyDescent="0.2">
      <c r="A353" s="22">
        <f t="shared" si="11"/>
        <v>40213</v>
      </c>
      <c r="B353" s="23" t="s">
        <v>155</v>
      </c>
      <c r="C353" s="8" t="s">
        <v>19</v>
      </c>
      <c r="D353" s="24" t="str">
        <f>IF(TB_IO!B193=""," ",TB_IO!B193)</f>
        <v xml:space="preserve"> </v>
      </c>
      <c r="E353" s="18" t="str">
        <f>IF(TB_IO!L193=""," ",TB_IO!L193)</f>
        <v xml:space="preserve"> </v>
      </c>
      <c r="F353" s="18"/>
      <c r="G353" s="18"/>
    </row>
    <row r="354" spans="1:7" hidden="1" x14ac:dyDescent="0.2">
      <c r="A354" s="22">
        <f t="shared" si="11"/>
        <v>40214</v>
      </c>
      <c r="B354" s="23" t="s">
        <v>156</v>
      </c>
      <c r="C354" s="8" t="s">
        <v>19</v>
      </c>
      <c r="D354" s="24" t="str">
        <f>IF(TB_IO!B194=""," ",TB_IO!B194)</f>
        <v xml:space="preserve"> </v>
      </c>
      <c r="E354" s="18" t="str">
        <f>IF(TB_IO!L194=""," ",TB_IO!L194)</f>
        <v xml:space="preserve"> </v>
      </c>
      <c r="F354" s="18"/>
      <c r="G354" s="18"/>
    </row>
    <row r="355" spans="1:7" hidden="1" x14ac:dyDescent="0.2">
      <c r="A355" s="22">
        <f t="shared" si="11"/>
        <v>40215</v>
      </c>
      <c r="B355" s="23" t="s">
        <v>157</v>
      </c>
      <c r="C355" s="8" t="s">
        <v>19</v>
      </c>
      <c r="D355" s="24" t="str">
        <f>IF(TB_IO!B195=""," ",TB_IO!B195)</f>
        <v xml:space="preserve"> </v>
      </c>
      <c r="E355" s="18" t="str">
        <f>IF(TB_IO!L195=""," ",TB_IO!L195)</f>
        <v xml:space="preserve"> </v>
      </c>
      <c r="F355" s="18"/>
      <c r="G355" s="18"/>
    </row>
    <row r="356" spans="1:7" hidden="1" x14ac:dyDescent="0.2">
      <c r="A356" s="22">
        <f t="shared" si="11"/>
        <v>40216</v>
      </c>
      <c r="B356" s="23" t="s">
        <v>158</v>
      </c>
      <c r="C356" s="8" t="s">
        <v>19</v>
      </c>
      <c r="D356" s="24" t="str">
        <f>IF(TB_IO!B196=""," ",TB_IO!B196)</f>
        <v xml:space="preserve"> </v>
      </c>
      <c r="E356" s="18" t="str">
        <f>IF(TB_IO!L196=""," ",TB_IO!L196)</f>
        <v xml:space="preserve"> </v>
      </c>
      <c r="F356" s="18"/>
      <c r="G356" s="18"/>
    </row>
    <row r="357" spans="1:7" hidden="1" x14ac:dyDescent="0.2">
      <c r="A357" s="22">
        <f t="shared" si="11"/>
        <v>40217</v>
      </c>
      <c r="B357" s="23" t="s">
        <v>159</v>
      </c>
      <c r="C357" s="8" t="s">
        <v>19</v>
      </c>
      <c r="D357" s="24" t="str">
        <f>IF(TB_IO!B197=""," ",TB_IO!B197)</f>
        <v xml:space="preserve"> </v>
      </c>
      <c r="E357" s="18" t="str">
        <f>IF(TB_IO!L197=""," ",TB_IO!L197)</f>
        <v xml:space="preserve"> </v>
      </c>
      <c r="F357" s="18"/>
      <c r="G357" s="18"/>
    </row>
    <row r="358" spans="1:7" hidden="1" x14ac:dyDescent="0.2">
      <c r="A358" s="22">
        <f t="shared" si="11"/>
        <v>40218</v>
      </c>
      <c r="B358" s="23" t="s">
        <v>160</v>
      </c>
      <c r="C358" s="8" t="s">
        <v>19</v>
      </c>
      <c r="D358" s="24" t="str">
        <f>IF(TB_IO!B217=""," ",TB_IO!B217)</f>
        <v xml:space="preserve"> </v>
      </c>
      <c r="E358" s="18" t="str">
        <f>IF(TB_IO!L217=""," ",TB_IO!L217)</f>
        <v xml:space="preserve"> </v>
      </c>
      <c r="F358" s="18"/>
      <c r="G358" s="18"/>
    </row>
    <row r="359" spans="1:7" hidden="1" x14ac:dyDescent="0.2">
      <c r="A359" s="22">
        <f t="shared" si="11"/>
        <v>40219</v>
      </c>
      <c r="B359" s="23" t="s">
        <v>161</v>
      </c>
      <c r="C359" s="8" t="s">
        <v>19</v>
      </c>
      <c r="D359" s="24" t="str">
        <f>IF(TB_IO!B218=""," ",TB_IO!B218)</f>
        <v xml:space="preserve"> </v>
      </c>
      <c r="E359" s="18" t="str">
        <f>IF(TB_IO!L218=""," ",TB_IO!L218)</f>
        <v xml:space="preserve"> </v>
      </c>
      <c r="F359" s="18"/>
      <c r="G359" s="18"/>
    </row>
    <row r="360" spans="1:7" hidden="1" x14ac:dyDescent="0.2">
      <c r="A360" s="22">
        <f t="shared" ref="A360:A389" si="12">A359+1</f>
        <v>40220</v>
      </c>
      <c r="B360" s="23" t="s">
        <v>162</v>
      </c>
      <c r="C360" s="8" t="s">
        <v>19</v>
      </c>
      <c r="D360" s="24" t="str">
        <f>IF(TB_IO!B219=""," ",TB_IO!B219)</f>
        <v xml:space="preserve"> </v>
      </c>
      <c r="E360" s="18" t="str">
        <f>IF(TB_IO!L219=""," ",TB_IO!L219)</f>
        <v xml:space="preserve"> </v>
      </c>
      <c r="F360" s="18"/>
      <c r="G360" s="18"/>
    </row>
    <row r="361" spans="1:7" hidden="1" x14ac:dyDescent="0.2">
      <c r="A361" s="22">
        <f t="shared" si="12"/>
        <v>40221</v>
      </c>
      <c r="B361" s="23" t="s">
        <v>163</v>
      </c>
      <c r="C361" s="8" t="s">
        <v>19</v>
      </c>
      <c r="D361" s="24" t="str">
        <f>IF(TB_IO!B220=""," ",TB_IO!B220)</f>
        <v xml:space="preserve"> </v>
      </c>
      <c r="E361" s="18" t="str">
        <f>IF(TB_IO!L220=""," ",TB_IO!L220)</f>
        <v xml:space="preserve"> </v>
      </c>
      <c r="F361" s="18"/>
      <c r="G361" s="18"/>
    </row>
    <row r="362" spans="1:7" hidden="1" x14ac:dyDescent="0.2">
      <c r="A362" s="22">
        <f t="shared" si="12"/>
        <v>40222</v>
      </c>
      <c r="B362" s="23" t="s">
        <v>164</v>
      </c>
      <c r="C362" s="8" t="s">
        <v>19</v>
      </c>
      <c r="D362" s="24" t="str">
        <f>IF(TB_IO!B221=""," ",TB_IO!B221)</f>
        <v xml:space="preserve"> </v>
      </c>
      <c r="E362" s="18" t="str">
        <f>IF(TB_IO!L221=""," ",TB_IO!L221)</f>
        <v xml:space="preserve"> </v>
      </c>
      <c r="F362" s="18"/>
      <c r="G362" s="18"/>
    </row>
    <row r="363" spans="1:7" hidden="1" x14ac:dyDescent="0.2">
      <c r="A363" s="22">
        <f t="shared" si="12"/>
        <v>40223</v>
      </c>
      <c r="B363" s="23" t="s">
        <v>165</v>
      </c>
      <c r="C363" s="8" t="s">
        <v>19</v>
      </c>
      <c r="D363" s="24" t="str">
        <f>IF(TB_IO!B222=""," ",TB_IO!B222)</f>
        <v xml:space="preserve"> </v>
      </c>
      <c r="E363" s="18" t="str">
        <f>IF(TB_IO!L222=""," ",TB_IO!L222)</f>
        <v xml:space="preserve"> </v>
      </c>
      <c r="F363" s="18"/>
      <c r="G363" s="18"/>
    </row>
    <row r="364" spans="1:7" hidden="1" x14ac:dyDescent="0.2">
      <c r="A364" s="22">
        <f t="shared" si="12"/>
        <v>40224</v>
      </c>
      <c r="B364" s="23" t="s">
        <v>166</v>
      </c>
      <c r="C364" s="8" t="s">
        <v>19</v>
      </c>
      <c r="D364" s="24" t="str">
        <f>IF(TB_IO!B223=""," ",TB_IO!B223)</f>
        <v xml:space="preserve"> </v>
      </c>
      <c r="E364" s="18" t="str">
        <f>IF(TB_IO!L223=""," ",TB_IO!L223)</f>
        <v xml:space="preserve"> </v>
      </c>
      <c r="F364" s="18"/>
      <c r="G364" s="18"/>
    </row>
    <row r="365" spans="1:7" hidden="1" x14ac:dyDescent="0.2">
      <c r="A365" s="22">
        <f t="shared" si="12"/>
        <v>40225</v>
      </c>
      <c r="B365" s="23" t="s">
        <v>167</v>
      </c>
      <c r="C365" s="8" t="s">
        <v>19</v>
      </c>
      <c r="D365" s="24" t="str">
        <f>IF(TB_IO!B224=""," ",TB_IO!B224)</f>
        <v xml:space="preserve"> </v>
      </c>
      <c r="E365" s="18" t="str">
        <f>IF(TB_IO!L224=""," ",TB_IO!L224)</f>
        <v xml:space="preserve"> </v>
      </c>
      <c r="F365" s="18"/>
      <c r="G365" s="18"/>
    </row>
    <row r="366" spans="1:7" hidden="1" x14ac:dyDescent="0.2">
      <c r="A366" s="22">
        <f t="shared" si="12"/>
        <v>40226</v>
      </c>
      <c r="B366" s="23" t="s">
        <v>168</v>
      </c>
      <c r="C366" s="8" t="s">
        <v>19</v>
      </c>
      <c r="D366" s="24" t="str">
        <f>IF(TB_IO!B225=""," ",TB_IO!B225)</f>
        <v xml:space="preserve"> </v>
      </c>
      <c r="E366" s="18" t="str">
        <f>IF(TB_IO!L225=""," ",TB_IO!L225)</f>
        <v xml:space="preserve"> </v>
      </c>
      <c r="F366" s="18"/>
      <c r="G366" s="18"/>
    </row>
    <row r="367" spans="1:7" hidden="1" x14ac:dyDescent="0.2">
      <c r="A367" s="22">
        <f t="shared" si="12"/>
        <v>40227</v>
      </c>
      <c r="B367" s="23" t="s">
        <v>169</v>
      </c>
      <c r="C367" s="8" t="s">
        <v>19</v>
      </c>
      <c r="D367" s="24" t="str">
        <f>IF(TB_IO!B226=""," ",TB_IO!B226)</f>
        <v xml:space="preserve"> </v>
      </c>
      <c r="E367" s="18" t="str">
        <f>IF(TB_IO!L226=""," ",TB_IO!L226)</f>
        <v xml:space="preserve"> </v>
      </c>
      <c r="F367" s="18"/>
      <c r="G367" s="18"/>
    </row>
    <row r="368" spans="1:7" hidden="1" x14ac:dyDescent="0.2">
      <c r="A368" s="22">
        <f t="shared" si="12"/>
        <v>40228</v>
      </c>
      <c r="B368" s="23" t="s">
        <v>170</v>
      </c>
      <c r="C368" s="8" t="s">
        <v>19</v>
      </c>
      <c r="D368" s="24" t="str">
        <f>IF(TB_IO!B227=""," ",TB_IO!B227)</f>
        <v xml:space="preserve"> </v>
      </c>
      <c r="E368" s="18" t="str">
        <f>IF(TB_IO!L227=""," ",TB_IO!L227)</f>
        <v xml:space="preserve"> </v>
      </c>
      <c r="F368" s="18"/>
      <c r="G368" s="18"/>
    </row>
    <row r="369" spans="1:7" hidden="1" x14ac:dyDescent="0.2">
      <c r="A369" s="22">
        <f t="shared" si="12"/>
        <v>40229</v>
      </c>
      <c r="B369" s="23" t="s">
        <v>171</v>
      </c>
      <c r="C369" s="8" t="s">
        <v>19</v>
      </c>
      <c r="D369" s="24" t="str">
        <f>IF(TB_IO!B228=""," ",TB_IO!B228)</f>
        <v xml:space="preserve"> </v>
      </c>
      <c r="E369" s="18" t="str">
        <f>IF(TB_IO!L228=""," ",TB_IO!L228)</f>
        <v xml:space="preserve"> </v>
      </c>
      <c r="F369" s="18"/>
      <c r="G369" s="18"/>
    </row>
    <row r="370" spans="1:7" hidden="1" x14ac:dyDescent="0.2">
      <c r="A370" s="22">
        <f t="shared" si="12"/>
        <v>40230</v>
      </c>
      <c r="B370" s="23" t="s">
        <v>172</v>
      </c>
      <c r="C370" s="8" t="s">
        <v>19</v>
      </c>
      <c r="D370" s="24" t="str">
        <f>IF(TB_IO!B229=""," ",TB_IO!B229)</f>
        <v xml:space="preserve"> </v>
      </c>
      <c r="E370" s="18" t="str">
        <f>IF(TB_IO!L229=""," ",TB_IO!L229)</f>
        <v xml:space="preserve"> </v>
      </c>
      <c r="F370" s="18"/>
      <c r="G370" s="18"/>
    </row>
    <row r="371" spans="1:7" hidden="1" x14ac:dyDescent="0.2">
      <c r="A371" s="22">
        <f t="shared" si="12"/>
        <v>40231</v>
      </c>
      <c r="B371" s="23" t="s">
        <v>173</v>
      </c>
      <c r="C371" s="8" t="s">
        <v>19</v>
      </c>
      <c r="D371" s="24" t="str">
        <f>IF(TB_IO!B230=""," ",TB_IO!B230)</f>
        <v xml:space="preserve"> </v>
      </c>
      <c r="E371" s="18" t="str">
        <f>IF(TB_IO!L230=""," ",TB_IO!L230)</f>
        <v xml:space="preserve"> </v>
      </c>
      <c r="F371" s="18"/>
      <c r="G371" s="18"/>
    </row>
    <row r="372" spans="1:7" hidden="1" x14ac:dyDescent="0.2">
      <c r="A372" s="22">
        <f t="shared" si="12"/>
        <v>40232</v>
      </c>
      <c r="B372" s="23" t="s">
        <v>174</v>
      </c>
      <c r="C372" s="8" t="s">
        <v>19</v>
      </c>
      <c r="D372" s="24" t="str">
        <f>IF(TB_IO!B231=""," ",TB_IO!B231)</f>
        <v xml:space="preserve"> </v>
      </c>
      <c r="E372" s="18" t="str">
        <f>IF(TB_IO!L231=""," ",TB_IO!L231)</f>
        <v xml:space="preserve"> </v>
      </c>
      <c r="F372" s="18"/>
      <c r="G372" s="18"/>
    </row>
    <row r="373" spans="1:7" hidden="1" x14ac:dyDescent="0.2">
      <c r="A373" s="22">
        <f t="shared" si="12"/>
        <v>40233</v>
      </c>
      <c r="B373" s="23" t="s">
        <v>175</v>
      </c>
      <c r="C373" s="8" t="s">
        <v>19</v>
      </c>
      <c r="D373" s="24" t="str">
        <f>IF(TB_IO!B232=""," ",TB_IO!B232)</f>
        <v xml:space="preserve"> </v>
      </c>
      <c r="E373" s="18" t="str">
        <f>IF(TB_IO!L232=""," ",TB_IO!L232)</f>
        <v xml:space="preserve"> </v>
      </c>
      <c r="F373" s="18"/>
      <c r="G373" s="18"/>
    </row>
    <row r="374" spans="1:7" hidden="1" x14ac:dyDescent="0.2">
      <c r="A374" s="22">
        <f t="shared" si="12"/>
        <v>40234</v>
      </c>
      <c r="B374" s="23" t="s">
        <v>176</v>
      </c>
      <c r="C374" s="8" t="s">
        <v>19</v>
      </c>
      <c r="D374" s="24" t="str">
        <f>IF(TB_IO!B233=""," ",TB_IO!B233)</f>
        <v xml:space="preserve"> </v>
      </c>
      <c r="E374" s="18" t="str">
        <f>IF(TB_IO!L233=""," ",TB_IO!L233)</f>
        <v xml:space="preserve"> </v>
      </c>
      <c r="F374" s="18"/>
      <c r="G374" s="18"/>
    </row>
    <row r="375" spans="1:7" hidden="1" x14ac:dyDescent="0.2">
      <c r="A375" s="22">
        <f t="shared" si="12"/>
        <v>40235</v>
      </c>
      <c r="B375" s="23" t="s">
        <v>177</v>
      </c>
      <c r="C375" s="8" t="s">
        <v>19</v>
      </c>
      <c r="D375" s="24" t="str">
        <f>IF(TB_IO!B234=""," ",TB_IO!B234)</f>
        <v xml:space="preserve"> </v>
      </c>
      <c r="E375" s="18" t="str">
        <f>IF(TB_IO!L234=""," ",TB_IO!L234)</f>
        <v xml:space="preserve"> </v>
      </c>
      <c r="F375" s="18"/>
      <c r="G375" s="18"/>
    </row>
    <row r="376" spans="1:7" hidden="1" x14ac:dyDescent="0.2">
      <c r="A376" s="22">
        <f t="shared" si="12"/>
        <v>40236</v>
      </c>
      <c r="B376" s="23" t="s">
        <v>178</v>
      </c>
      <c r="C376" s="8" t="s">
        <v>19</v>
      </c>
      <c r="D376" s="24" t="str">
        <f>IF(TB_IO!B235=""," ",TB_IO!B235)</f>
        <v xml:space="preserve"> </v>
      </c>
      <c r="E376" s="18" t="str">
        <f>IF(TB_IO!L235=""," ",TB_IO!L235)</f>
        <v xml:space="preserve"> </v>
      </c>
      <c r="F376" s="18"/>
      <c r="G376" s="18"/>
    </row>
    <row r="377" spans="1:7" hidden="1" x14ac:dyDescent="0.2">
      <c r="A377" s="22">
        <f t="shared" si="12"/>
        <v>40237</v>
      </c>
      <c r="B377" s="23" t="s">
        <v>179</v>
      </c>
      <c r="C377" s="8" t="s">
        <v>19</v>
      </c>
      <c r="D377" s="24" t="str">
        <f>IF(TB_IO!B236=""," ",TB_IO!B236)</f>
        <v xml:space="preserve"> </v>
      </c>
      <c r="E377" s="18" t="str">
        <f>IF(TB_IO!L236=""," ",TB_IO!L236)</f>
        <v xml:space="preserve"> </v>
      </c>
      <c r="F377" s="18"/>
      <c r="G377" s="18"/>
    </row>
    <row r="378" spans="1:7" hidden="1" x14ac:dyDescent="0.2">
      <c r="A378" s="22">
        <f t="shared" si="12"/>
        <v>40238</v>
      </c>
      <c r="B378" s="23" t="s">
        <v>180</v>
      </c>
      <c r="C378" s="8" t="s">
        <v>19</v>
      </c>
      <c r="D378" s="24" t="str">
        <f>IF(TB_IO!B237=""," ",TB_IO!B237)</f>
        <v xml:space="preserve"> </v>
      </c>
      <c r="E378" s="18" t="str">
        <f>IF(TB_IO!L237=""," ",TB_IO!L237)</f>
        <v xml:space="preserve"> </v>
      </c>
      <c r="F378" s="18"/>
      <c r="G378" s="18"/>
    </row>
    <row r="379" spans="1:7" hidden="1" x14ac:dyDescent="0.2">
      <c r="A379" s="22">
        <f t="shared" si="12"/>
        <v>40239</v>
      </c>
      <c r="B379" s="23" t="s">
        <v>181</v>
      </c>
      <c r="C379" s="8" t="s">
        <v>19</v>
      </c>
      <c r="D379" s="24" t="str">
        <f>IF(TB_IO!B238=""," ",TB_IO!B238)</f>
        <v xml:space="preserve"> </v>
      </c>
      <c r="E379" s="18" t="str">
        <f>IF(TB_IO!L238=""," ",TB_IO!L238)</f>
        <v xml:space="preserve"> </v>
      </c>
      <c r="F379" s="18"/>
      <c r="G379" s="18"/>
    </row>
    <row r="380" spans="1:7" hidden="1" x14ac:dyDescent="0.2">
      <c r="A380" s="22">
        <f t="shared" si="12"/>
        <v>40240</v>
      </c>
      <c r="B380" s="23" t="s">
        <v>182</v>
      </c>
      <c r="C380" s="8" t="s">
        <v>19</v>
      </c>
      <c r="D380" s="24" t="str">
        <f>IF(TB_IO!B239=""," ",TB_IO!B239)</f>
        <v xml:space="preserve"> </v>
      </c>
      <c r="E380" s="18" t="str">
        <f>IF(TB_IO!L239=""," ",TB_IO!L239)</f>
        <v xml:space="preserve"> </v>
      </c>
      <c r="F380" s="18"/>
      <c r="G380" s="18"/>
    </row>
    <row r="381" spans="1:7" hidden="1" x14ac:dyDescent="0.2">
      <c r="A381" s="22">
        <f t="shared" si="12"/>
        <v>40241</v>
      </c>
      <c r="B381" s="23" t="s">
        <v>183</v>
      </c>
      <c r="C381" s="8" t="s">
        <v>19</v>
      </c>
      <c r="D381" s="24" t="str">
        <f>IF(TB_IO!B240=""," ",TB_IO!B240)</f>
        <v xml:space="preserve"> </v>
      </c>
      <c r="E381" s="18" t="str">
        <f>IF(TB_IO!L240=""," ",TB_IO!L240)</f>
        <v xml:space="preserve"> </v>
      </c>
      <c r="F381" s="18"/>
      <c r="G381" s="18"/>
    </row>
    <row r="382" spans="1:7" hidden="1" x14ac:dyDescent="0.2">
      <c r="A382" s="22">
        <f t="shared" si="12"/>
        <v>40242</v>
      </c>
      <c r="B382" s="23" t="s">
        <v>184</v>
      </c>
      <c r="C382" s="8" t="s">
        <v>19</v>
      </c>
      <c r="D382" s="24" t="str">
        <f>IF(TB_IO!B241=""," ",TB_IO!B241)</f>
        <v xml:space="preserve"> </v>
      </c>
      <c r="E382" s="18" t="str">
        <f>IF(TB_IO!L241=""," ",TB_IO!L241)</f>
        <v xml:space="preserve"> </v>
      </c>
      <c r="F382" s="18"/>
      <c r="G382" s="18"/>
    </row>
    <row r="383" spans="1:7" hidden="1" x14ac:dyDescent="0.2">
      <c r="A383" s="22">
        <f t="shared" si="12"/>
        <v>40243</v>
      </c>
      <c r="B383" s="23" t="s">
        <v>185</v>
      </c>
      <c r="C383" s="8" t="s">
        <v>19</v>
      </c>
      <c r="D383" s="24" t="str">
        <f>IF(TB_IO!B242=""," ",TB_IO!B242)</f>
        <v xml:space="preserve"> </v>
      </c>
      <c r="E383" s="18" t="str">
        <f>IF(TB_IO!L242=""," ",TB_IO!L242)</f>
        <v xml:space="preserve"> </v>
      </c>
      <c r="F383" s="18"/>
      <c r="G383" s="18"/>
    </row>
    <row r="384" spans="1:7" hidden="1" x14ac:dyDescent="0.2">
      <c r="A384" s="22">
        <f t="shared" si="12"/>
        <v>40244</v>
      </c>
      <c r="B384" s="23" t="s">
        <v>186</v>
      </c>
      <c r="C384" s="8" t="s">
        <v>19</v>
      </c>
      <c r="D384" s="24" t="str">
        <f>IF(TB_IO!B243=""," ",TB_IO!B243)</f>
        <v xml:space="preserve"> </v>
      </c>
      <c r="E384" s="18" t="str">
        <f>IF(TB_IO!L243=""," ",TB_IO!L243)</f>
        <v xml:space="preserve"> </v>
      </c>
      <c r="F384" s="18"/>
      <c r="G384" s="18"/>
    </row>
    <row r="385" spans="1:7" hidden="1" x14ac:dyDescent="0.2">
      <c r="A385" s="22">
        <f t="shared" si="12"/>
        <v>40245</v>
      </c>
      <c r="B385" s="23" t="s">
        <v>187</v>
      </c>
      <c r="C385" s="8" t="s">
        <v>19</v>
      </c>
      <c r="D385" s="24" t="str">
        <f>IF(TB_IO!B244=""," ",TB_IO!B244)</f>
        <v xml:space="preserve"> </v>
      </c>
      <c r="E385" s="18" t="str">
        <f>IF(TB_IO!L244=""," ",TB_IO!L244)</f>
        <v xml:space="preserve"> </v>
      </c>
      <c r="F385" s="18"/>
      <c r="G385" s="18"/>
    </row>
    <row r="386" spans="1:7" hidden="1" x14ac:dyDescent="0.2">
      <c r="A386" s="22">
        <f t="shared" si="12"/>
        <v>40246</v>
      </c>
      <c r="B386" s="23" t="s">
        <v>188</v>
      </c>
      <c r="C386" s="8" t="s">
        <v>19</v>
      </c>
      <c r="D386" s="24" t="str">
        <f>IF(TB_IO!B245=""," ",TB_IO!B245)</f>
        <v xml:space="preserve"> </v>
      </c>
      <c r="E386" s="18" t="str">
        <f>IF(TB_IO!L245=""," ",TB_IO!L245)</f>
        <v xml:space="preserve"> </v>
      </c>
      <c r="F386" s="18"/>
      <c r="G386" s="18"/>
    </row>
    <row r="387" spans="1:7" hidden="1" x14ac:dyDescent="0.2">
      <c r="A387" s="22">
        <f t="shared" si="12"/>
        <v>40247</v>
      </c>
      <c r="B387" s="23" t="s">
        <v>189</v>
      </c>
      <c r="C387" s="8" t="s">
        <v>19</v>
      </c>
      <c r="D387" s="24" t="str">
        <f>IF(TB_IO!B246=""," ",TB_IO!B246)</f>
        <v xml:space="preserve"> </v>
      </c>
      <c r="E387" s="18" t="str">
        <f>IF(TB_IO!L246=""," ",TB_IO!L246)</f>
        <v xml:space="preserve"> </v>
      </c>
      <c r="F387" s="18"/>
      <c r="G387" s="18"/>
    </row>
    <row r="388" spans="1:7" hidden="1" x14ac:dyDescent="0.2">
      <c r="A388" s="22">
        <f t="shared" si="12"/>
        <v>40248</v>
      </c>
      <c r="B388" s="23" t="s">
        <v>190</v>
      </c>
      <c r="C388" s="8" t="s">
        <v>19</v>
      </c>
      <c r="D388" s="24" t="str">
        <f>IF(TB_IO!B247=""," ",TB_IO!B247)</f>
        <v xml:space="preserve"> </v>
      </c>
      <c r="E388" s="18" t="str">
        <f>IF(TB_IO!L247=""," ",TB_IO!L247)</f>
        <v xml:space="preserve"> </v>
      </c>
      <c r="F388" s="18"/>
      <c r="G388" s="18"/>
    </row>
    <row r="389" spans="1:7" hidden="1" x14ac:dyDescent="0.2">
      <c r="A389" s="22">
        <f t="shared" si="12"/>
        <v>40249</v>
      </c>
      <c r="B389" s="23" t="s">
        <v>191</v>
      </c>
      <c r="C389" s="8" t="s">
        <v>19</v>
      </c>
      <c r="D389" s="24" t="str">
        <f>IF(TB_IO!B248=""," ",TB_IO!B248)</f>
        <v xml:space="preserve"> </v>
      </c>
      <c r="E389" s="18" t="str">
        <f>IF(TB_IO!L248=""," ",TB_IO!L248)</f>
        <v xml:space="preserve"> </v>
      </c>
      <c r="F389" s="18"/>
      <c r="G389" s="18"/>
    </row>
    <row r="390" spans="1:7" x14ac:dyDescent="0.2">
      <c r="A390" s="22">
        <v>40250</v>
      </c>
      <c r="B390" s="23" t="s">
        <v>192</v>
      </c>
      <c r="C390" s="8" t="s">
        <v>19</v>
      </c>
      <c r="D390" s="18" t="str">
        <f>IF(TB_IO!B60=""," ",TB_IO!B60)</f>
        <v>Engine RPM</v>
      </c>
      <c r="E390" s="18" t="str">
        <f>IF(TB_IO!L60=""," ",TB_IO!L60)</f>
        <v xml:space="preserve"> </v>
      </c>
      <c r="F390" s="18"/>
      <c r="G390" s="18"/>
    </row>
    <row r="391" spans="1:7" x14ac:dyDescent="0.2">
      <c r="A391" s="22">
        <v>40251</v>
      </c>
      <c r="B391" s="23" t="s">
        <v>193</v>
      </c>
      <c r="C391" s="8" t="s">
        <v>19</v>
      </c>
      <c r="D391" s="18" t="str">
        <f>IF(TB_IO!B61=""," ",TB_IO!B61)</f>
        <v xml:space="preserve"> </v>
      </c>
      <c r="E391" s="18" t="str">
        <f>IF(TB_IO!L61=""," ",TB_IO!L61)</f>
        <v xml:space="preserve"> </v>
      </c>
      <c r="F391" s="18"/>
      <c r="G391" s="18"/>
    </row>
    <row r="392" spans="1:7" x14ac:dyDescent="0.2">
      <c r="A392" s="22">
        <v>40252</v>
      </c>
      <c r="B392" s="23" t="s">
        <v>194</v>
      </c>
      <c r="C392" s="8" t="s">
        <v>19</v>
      </c>
      <c r="D392" s="18" t="str">
        <f>IF(TB_IO!B111=""," ",TB_IO!B111)</f>
        <v xml:space="preserve"> </v>
      </c>
      <c r="E392" s="18" t="str">
        <f>IF(TB_IO!L111=""," ",TB_IO!L111)</f>
        <v xml:space="preserve"> </v>
      </c>
      <c r="F392" s="18"/>
      <c r="G392" s="18"/>
    </row>
    <row r="393" spans="1:7" x14ac:dyDescent="0.2">
      <c r="A393" s="22">
        <v>40253</v>
      </c>
      <c r="B393" s="23" t="s">
        <v>195</v>
      </c>
      <c r="C393" s="8" t="s">
        <v>19</v>
      </c>
      <c r="D393" s="18" t="str">
        <f>IF(TB_IO!B112=""," ",TB_IO!B112)</f>
        <v xml:space="preserve"> </v>
      </c>
      <c r="E393" s="18" t="str">
        <f>IF(TB_IO!L112=""," ",TB_IO!L112)</f>
        <v xml:space="preserve"> </v>
      </c>
      <c r="F393" s="18"/>
      <c r="G393" s="18"/>
    </row>
    <row r="394" spans="1:7" hidden="1" x14ac:dyDescent="0.2">
      <c r="A394" s="22">
        <v>40254</v>
      </c>
      <c r="B394" s="23" t="s">
        <v>196</v>
      </c>
      <c r="C394" s="8" t="s">
        <v>19</v>
      </c>
      <c r="D394" s="18" t="str">
        <f>IF(TB_IO!B162=""," ",TB_IO!B162)</f>
        <v xml:space="preserve"> </v>
      </c>
      <c r="E394" s="18" t="str">
        <f>IF(TB_IO!L162=""," ",TB_IO!L162)</f>
        <v xml:space="preserve"> </v>
      </c>
      <c r="F394" s="18"/>
      <c r="G394" s="18"/>
    </row>
    <row r="395" spans="1:7" hidden="1" x14ac:dyDescent="0.2">
      <c r="A395" s="22">
        <v>40255</v>
      </c>
      <c r="B395" s="23" t="s">
        <v>197</v>
      </c>
      <c r="C395" s="8" t="s">
        <v>19</v>
      </c>
      <c r="D395" s="18" t="str">
        <f>IF(TB_IO!B163=""," ",TB_IO!B163)</f>
        <v xml:space="preserve"> </v>
      </c>
      <c r="E395" s="18" t="str">
        <f>IF(TB_IO!L163=""," ",TB_IO!L163)</f>
        <v xml:space="preserve"> </v>
      </c>
      <c r="F395" s="18"/>
      <c r="G395" s="18"/>
    </row>
    <row r="396" spans="1:7" hidden="1" x14ac:dyDescent="0.2">
      <c r="A396" s="22">
        <v>40256</v>
      </c>
      <c r="B396" s="23" t="s">
        <v>198</v>
      </c>
      <c r="C396" s="8" t="s">
        <v>19</v>
      </c>
      <c r="D396" s="18" t="str">
        <f>IF(TB_IO!B213=""," ",TB_IO!B213)</f>
        <v xml:space="preserve"> </v>
      </c>
      <c r="E396" s="18" t="str">
        <f>IF(TB_IO!L213=""," ",TB_IO!L213)</f>
        <v xml:space="preserve"> </v>
      </c>
      <c r="F396" s="18"/>
      <c r="G396" s="18"/>
    </row>
    <row r="397" spans="1:7" hidden="1" x14ac:dyDescent="0.2">
      <c r="A397" s="22">
        <v>40257</v>
      </c>
      <c r="B397" s="23" t="s">
        <v>199</v>
      </c>
      <c r="C397" s="8" t="s">
        <v>19</v>
      </c>
      <c r="D397" s="18" t="str">
        <f>IF(TB_IO!B214=""," ",TB_IO!B214)</f>
        <v xml:space="preserve"> </v>
      </c>
      <c r="E397" s="18" t="str">
        <f>IF(TB_IO!L214=""," ",TB_IO!L214)</f>
        <v xml:space="preserve"> </v>
      </c>
      <c r="F397" s="18"/>
      <c r="G397" s="18"/>
    </row>
    <row r="398" spans="1:7" hidden="1" x14ac:dyDescent="0.2">
      <c r="A398" s="22">
        <v>40258</v>
      </c>
      <c r="B398" s="23" t="s">
        <v>200</v>
      </c>
      <c r="C398" s="8" t="s">
        <v>19</v>
      </c>
      <c r="D398" s="18" t="str">
        <f>IF(TB_IO!B264=""," ",TB_IO!B264)</f>
        <v xml:space="preserve"> </v>
      </c>
      <c r="E398" s="18" t="str">
        <f>IF(TB_IO!L264=""," ",TB_IO!L264)</f>
        <v xml:space="preserve"> </v>
      </c>
      <c r="F398" s="18"/>
      <c r="G398" s="18"/>
    </row>
    <row r="399" spans="1:7" hidden="1" x14ac:dyDescent="0.2">
      <c r="A399" s="22">
        <v>40259</v>
      </c>
      <c r="B399" s="23" t="s">
        <v>201</v>
      </c>
      <c r="C399" s="8" t="s">
        <v>19</v>
      </c>
      <c r="D399" s="18" t="str">
        <f>IF(TB_IO!B265=""," ",TB_IO!B265)</f>
        <v xml:space="preserve"> </v>
      </c>
      <c r="E399" s="18" t="str">
        <f>IF(TB_IO!L265=""," ",TB_IO!L265)</f>
        <v xml:space="preserve"> </v>
      </c>
      <c r="F399" s="18"/>
      <c r="G399" s="18"/>
    </row>
    <row r="400" spans="1:7" x14ac:dyDescent="0.2">
      <c r="A400" s="22">
        <v>40260</v>
      </c>
      <c r="B400" s="23" t="s">
        <v>202</v>
      </c>
      <c r="C400" s="8" t="s">
        <v>19</v>
      </c>
      <c r="D400" s="18" t="str">
        <f>IF(TB_IO!B46=""," ",TB_IO!B46)</f>
        <v>Suction Control Out</v>
      </c>
      <c r="E400" s="18" t="str">
        <f>IF(TB_IO!L46=""," ",TB_IO!L46)</f>
        <v xml:space="preserve"> </v>
      </c>
      <c r="F400" s="18"/>
      <c r="G400" s="18"/>
    </row>
    <row r="401" spans="1:7" x14ac:dyDescent="0.2">
      <c r="A401" s="22">
        <v>40261</v>
      </c>
      <c r="B401" s="23" t="s">
        <v>203</v>
      </c>
      <c r="C401" s="8" t="s">
        <v>19</v>
      </c>
      <c r="D401" s="18" t="str">
        <f>IF(TB_IO!B47=""," ",TB_IO!B47)</f>
        <v>Engine Speed Control Out</v>
      </c>
      <c r="E401" s="18" t="str">
        <f>IF(TB_IO!L47=""," ",TB_IO!L47)</f>
        <v xml:space="preserve"> </v>
      </c>
      <c r="F401" s="18"/>
      <c r="G401" s="18"/>
    </row>
    <row r="402" spans="1:7" x14ac:dyDescent="0.2">
      <c r="A402" s="22">
        <v>40262</v>
      </c>
      <c r="B402" s="23" t="s">
        <v>204</v>
      </c>
      <c r="C402" s="8" t="s">
        <v>19</v>
      </c>
      <c r="D402" s="18" t="str">
        <f>IF(TB_IO!B48=""," ",TB_IO!B48)</f>
        <v>Recycle Valve Control Out</v>
      </c>
      <c r="E402" s="18" t="str">
        <f>IF(TB_IO!L48=""," ",TB_IO!L48)</f>
        <v xml:space="preserve"> </v>
      </c>
      <c r="F402" s="18"/>
      <c r="G402" s="18"/>
    </row>
    <row r="403" spans="1:7" x14ac:dyDescent="0.2">
      <c r="A403" s="22">
        <v>40263</v>
      </c>
      <c r="B403" s="23" t="s">
        <v>205</v>
      </c>
      <c r="C403" s="8" t="s">
        <v>19</v>
      </c>
      <c r="D403" s="18" t="str">
        <f>IF(TB_IO!B49=""," ",TB_IO!B49)</f>
        <v xml:space="preserve"> </v>
      </c>
      <c r="E403" s="18" t="str">
        <f>IF(TB_IO!L49=""," ",TB_IO!L49)</f>
        <v xml:space="preserve"> </v>
      </c>
      <c r="F403" s="18"/>
      <c r="G403" s="18"/>
    </row>
    <row r="404" spans="1:7" x14ac:dyDescent="0.2">
      <c r="A404" s="22">
        <v>40264</v>
      </c>
      <c r="B404" s="23" t="s">
        <v>206</v>
      </c>
      <c r="C404" s="8" t="s">
        <v>19</v>
      </c>
      <c r="D404" s="18" t="str">
        <f>IF(TB_IO!B97=""," ",TB_IO!B97)</f>
        <v xml:space="preserve"> </v>
      </c>
      <c r="E404" s="18" t="str">
        <f>IF(TB_IO!L97=""," ",TB_IO!L97)</f>
        <v xml:space="preserve"> </v>
      </c>
      <c r="F404" s="18"/>
      <c r="G404" s="18"/>
    </row>
    <row r="405" spans="1:7" x14ac:dyDescent="0.2">
      <c r="A405" s="22">
        <v>40265</v>
      </c>
      <c r="B405" s="23" t="s">
        <v>207</v>
      </c>
      <c r="C405" s="8" t="s">
        <v>19</v>
      </c>
      <c r="D405" s="18" t="str">
        <f>IF(TB_IO!B98=""," ",TB_IO!B98)</f>
        <v xml:space="preserve"> </v>
      </c>
      <c r="E405" s="18" t="str">
        <f>IF(TB_IO!L98=""," ",TB_IO!L98)</f>
        <v xml:space="preserve"> </v>
      </c>
      <c r="F405" s="18"/>
      <c r="G405" s="18"/>
    </row>
    <row r="406" spans="1:7" x14ac:dyDescent="0.2">
      <c r="A406" s="22">
        <v>40266</v>
      </c>
      <c r="B406" s="23" t="s">
        <v>208</v>
      </c>
      <c r="C406" s="8" t="s">
        <v>19</v>
      </c>
      <c r="D406" s="18" t="str">
        <f>IF(TB_IO!B99=""," ",TB_IO!B99)</f>
        <v xml:space="preserve"> </v>
      </c>
      <c r="E406" s="18" t="str">
        <f>IF(TB_IO!L99=""," ",TB_IO!L99)</f>
        <v xml:space="preserve"> </v>
      </c>
      <c r="F406" s="18"/>
      <c r="G406" s="18"/>
    </row>
    <row r="407" spans="1:7" x14ac:dyDescent="0.2">
      <c r="A407" s="22">
        <v>40267</v>
      </c>
      <c r="B407" s="23" t="s">
        <v>209</v>
      </c>
      <c r="C407" s="8" t="s">
        <v>19</v>
      </c>
      <c r="D407" s="18" t="str">
        <f>IF(TB_IO!B100=""," ",TB_IO!B100)</f>
        <v xml:space="preserve"> </v>
      </c>
      <c r="E407" s="18" t="str">
        <f>IF(TB_IO!L100=""," ",TB_IO!L100)</f>
        <v xml:space="preserve"> </v>
      </c>
      <c r="F407" s="18"/>
      <c r="G407" s="18"/>
    </row>
    <row r="408" spans="1:7" hidden="1" x14ac:dyDescent="0.2">
      <c r="A408" s="22">
        <v>40268</v>
      </c>
      <c r="B408" s="23" t="s">
        <v>210</v>
      </c>
      <c r="C408" s="8" t="s">
        <v>19</v>
      </c>
      <c r="D408" s="18" t="str">
        <f>IF(TB_IO!B148=""," ",TB_IO!B148)</f>
        <v xml:space="preserve"> </v>
      </c>
      <c r="E408" s="18" t="str">
        <f>IF(TB_IO!L148=""," ",TB_IO!L148)</f>
        <v xml:space="preserve"> </v>
      </c>
      <c r="F408" s="18"/>
      <c r="G408" s="18"/>
    </row>
    <row r="409" spans="1:7" hidden="1" x14ac:dyDescent="0.2">
      <c r="A409" s="22">
        <v>40269</v>
      </c>
      <c r="B409" s="23" t="s">
        <v>211</v>
      </c>
      <c r="C409" s="8" t="s">
        <v>19</v>
      </c>
      <c r="D409" s="18" t="str">
        <f>IF(TB_IO!B149=""," ",TB_IO!B149)</f>
        <v xml:space="preserve"> </v>
      </c>
      <c r="E409" s="18" t="str">
        <f>IF(TB_IO!L149=""," ",TB_IO!L149)</f>
        <v xml:space="preserve"> </v>
      </c>
      <c r="F409" s="18"/>
      <c r="G409" s="18"/>
    </row>
    <row r="410" spans="1:7" hidden="1" x14ac:dyDescent="0.2">
      <c r="A410" s="22">
        <v>40270</v>
      </c>
      <c r="B410" s="23" t="s">
        <v>212</v>
      </c>
      <c r="C410" s="8" t="s">
        <v>19</v>
      </c>
      <c r="D410" s="18" t="str">
        <f>IF(TB_IO!B150=""," ",TB_IO!B150)</f>
        <v xml:space="preserve"> </v>
      </c>
      <c r="E410" s="18" t="str">
        <f>IF(TB_IO!L150=""," ",TB_IO!L150)</f>
        <v xml:space="preserve"> </v>
      </c>
      <c r="F410" s="18"/>
      <c r="G410" s="18"/>
    </row>
    <row r="411" spans="1:7" hidden="1" x14ac:dyDescent="0.2">
      <c r="A411" s="22">
        <v>40271</v>
      </c>
      <c r="B411" s="23" t="s">
        <v>213</v>
      </c>
      <c r="C411" s="8" t="s">
        <v>19</v>
      </c>
      <c r="D411" s="18" t="str">
        <f>IF(TB_IO!B151=""," ",TB_IO!B151)</f>
        <v xml:space="preserve"> </v>
      </c>
      <c r="E411" s="18" t="str">
        <f>IF(TB_IO!L151=""," ",TB_IO!L151)</f>
        <v xml:space="preserve"> </v>
      </c>
      <c r="F411" s="18"/>
      <c r="G411" s="18"/>
    </row>
    <row r="412" spans="1:7" hidden="1" x14ac:dyDescent="0.2">
      <c r="A412" s="22">
        <v>40272</v>
      </c>
      <c r="B412" s="23" t="s">
        <v>214</v>
      </c>
      <c r="C412" s="8" t="s">
        <v>19</v>
      </c>
      <c r="D412" s="18" t="str">
        <f>IF(TB_IO!B199=""," ",TB_IO!B199)</f>
        <v xml:space="preserve"> </v>
      </c>
      <c r="E412" s="18" t="str">
        <f>IF(TB_IO!L199=""," ",TB_IO!L199)</f>
        <v xml:space="preserve"> </v>
      </c>
      <c r="F412" s="18"/>
      <c r="G412" s="18"/>
    </row>
    <row r="413" spans="1:7" hidden="1" x14ac:dyDescent="0.2">
      <c r="A413" s="22">
        <v>40273</v>
      </c>
      <c r="B413" s="23" t="s">
        <v>215</v>
      </c>
      <c r="C413" s="8" t="s">
        <v>19</v>
      </c>
      <c r="D413" s="18" t="str">
        <f>IF(TB_IO!B200=""," ",TB_IO!B200)</f>
        <v xml:space="preserve"> </v>
      </c>
      <c r="E413" s="18" t="str">
        <f>IF(TB_IO!L200=""," ",TB_IO!L200)</f>
        <v xml:space="preserve"> </v>
      </c>
      <c r="F413" s="18"/>
      <c r="G413" s="18"/>
    </row>
    <row r="414" spans="1:7" hidden="1" x14ac:dyDescent="0.2">
      <c r="A414" s="22">
        <v>40274</v>
      </c>
      <c r="B414" s="23" t="s">
        <v>216</v>
      </c>
      <c r="C414" s="8" t="s">
        <v>19</v>
      </c>
      <c r="D414" s="18" t="str">
        <f>IF(TB_IO!B201=""," ",TB_IO!B201)</f>
        <v xml:space="preserve"> </v>
      </c>
      <c r="E414" s="18" t="str">
        <f>IF(TB_IO!L201=""," ",TB_IO!L201)</f>
        <v xml:space="preserve"> </v>
      </c>
      <c r="F414" s="18"/>
      <c r="G414" s="18"/>
    </row>
    <row r="415" spans="1:7" hidden="1" x14ac:dyDescent="0.2">
      <c r="A415" s="22">
        <v>40275</v>
      </c>
      <c r="B415" s="23" t="s">
        <v>217</v>
      </c>
      <c r="C415" s="8" t="s">
        <v>19</v>
      </c>
      <c r="D415" s="18" t="str">
        <f>IF(TB_IO!B202=""," ",TB_IO!B202)</f>
        <v xml:space="preserve"> </v>
      </c>
      <c r="E415" s="18" t="str">
        <f>IF(TB_IO!L202=""," ",TB_IO!L202)</f>
        <v xml:space="preserve"> </v>
      </c>
      <c r="F415" s="18"/>
      <c r="G415" s="18"/>
    </row>
    <row r="416" spans="1:7" hidden="1" x14ac:dyDescent="0.2">
      <c r="A416" s="22">
        <v>40276</v>
      </c>
      <c r="B416" s="23" t="s">
        <v>218</v>
      </c>
      <c r="C416" s="8" t="s">
        <v>19</v>
      </c>
      <c r="D416" s="18" t="str">
        <f>IF(TB_IO!B250=""," ",TB_IO!B250)</f>
        <v xml:space="preserve"> </v>
      </c>
      <c r="E416" s="18" t="str">
        <f>IF(TB_IO!L250=""," ",TB_IO!L250)</f>
        <v xml:space="preserve"> </v>
      </c>
      <c r="F416" s="18"/>
      <c r="G416" s="18"/>
    </row>
    <row r="417" spans="1:7" hidden="1" x14ac:dyDescent="0.2">
      <c r="A417" s="22">
        <v>40277</v>
      </c>
      <c r="B417" s="23" t="s">
        <v>219</v>
      </c>
      <c r="C417" s="8" t="s">
        <v>19</v>
      </c>
      <c r="D417" s="18" t="str">
        <f>IF(TB_IO!B251=""," ",TB_IO!B251)</f>
        <v xml:space="preserve"> </v>
      </c>
      <c r="E417" s="18" t="str">
        <f>IF(TB_IO!L251=""," ",TB_IO!L251)</f>
        <v xml:space="preserve"> </v>
      </c>
      <c r="F417" s="18"/>
      <c r="G417" s="18"/>
    </row>
    <row r="418" spans="1:7" hidden="1" x14ac:dyDescent="0.2">
      <c r="A418" s="22">
        <v>40278</v>
      </c>
      <c r="B418" s="23" t="s">
        <v>220</v>
      </c>
      <c r="C418" s="8" t="s">
        <v>19</v>
      </c>
      <c r="D418" s="18" t="str">
        <f>IF(TB_IO!B252=""," ",TB_IO!B252)</f>
        <v xml:space="preserve"> </v>
      </c>
      <c r="E418" s="18" t="str">
        <f>IF(TB_IO!L252=""," ",TB_IO!L252)</f>
        <v xml:space="preserve"> </v>
      </c>
      <c r="F418" s="18"/>
      <c r="G418" s="18"/>
    </row>
    <row r="419" spans="1:7" hidden="1" x14ac:dyDescent="0.2">
      <c r="A419" s="22">
        <v>40279</v>
      </c>
      <c r="B419" s="23" t="s">
        <v>221</v>
      </c>
      <c r="C419" s="8" t="s">
        <v>19</v>
      </c>
      <c r="D419" s="18" t="str">
        <f>IF(TB_IO!B253=""," ",TB_IO!B253)</f>
        <v xml:space="preserve"> </v>
      </c>
      <c r="E419" s="18" t="str">
        <f>IF(TB_IO!L253=""," ",TB_IO!L253)</f>
        <v xml:space="preserve"> </v>
      </c>
      <c r="F419" s="18"/>
      <c r="G419" s="18"/>
    </row>
  </sheetData>
  <mergeCells count="24">
    <mergeCell ref="B2:B3"/>
    <mergeCell ref="A221:A228"/>
    <mergeCell ref="B221:B228"/>
    <mergeCell ref="C2:C3"/>
    <mergeCell ref="A205:A212"/>
    <mergeCell ref="B205:B212"/>
    <mergeCell ref="A213:A220"/>
    <mergeCell ref="B213:B220"/>
    <mergeCell ref="A229:G229"/>
    <mergeCell ref="D2:D3"/>
    <mergeCell ref="E2:G2"/>
    <mergeCell ref="A189:A196"/>
    <mergeCell ref="B189:B196"/>
    <mergeCell ref="A197:A204"/>
    <mergeCell ref="B197:B204"/>
    <mergeCell ref="A17:A181"/>
    <mergeCell ref="B17:B181"/>
    <mergeCell ref="A182:A185"/>
    <mergeCell ref="B182:B185"/>
    <mergeCell ref="A186:A188"/>
    <mergeCell ref="B186:B188"/>
    <mergeCell ref="A4:A14"/>
    <mergeCell ref="B4:B14"/>
    <mergeCell ref="A2:A3"/>
  </mergeCells>
  <conditionalFormatting sqref="A1:F228 A230:F1048576 A229">
    <cfRule type="cellIs" dxfId="11" priority="1" operator="equal">
      <formula>"N/A"</formula>
    </cfRule>
  </conditionalFormatting>
  <pageMargins left="0.7" right="0.7" top="0.75" bottom="0.75" header="0.3" footer="0.3"/>
  <pageSetup scale="42" orientation="portrait" r:id="rId1"/>
  <rowBreaks count="5" manualBreakCount="5">
    <brk id="50" max="16383" man="1"/>
    <brk id="193" max="16383" man="1"/>
    <brk id="265" max="16383" man="1"/>
    <brk id="315" max="16383" man="1"/>
    <brk id="365" max="16383" man="1"/>
  </rowBreaks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835"/>
  <sheetViews>
    <sheetView tabSelected="1" zoomScaleNormal="100" workbookViewId="0">
      <pane ySplit="3" topLeftCell="A507" activePane="bottomLeft" state="frozen"/>
      <selection pane="bottomLeft" activeCell="I512" sqref="I512"/>
    </sheetView>
  </sheetViews>
  <sheetFormatPr defaultRowHeight="15" x14ac:dyDescent="0.2"/>
  <cols>
    <col min="1" max="1" width="19.234375" style="29" customWidth="1"/>
    <col min="2" max="2" width="45.19921875" customWidth="1"/>
    <col min="3" max="3" width="41.1640625" style="29" bestFit="1" customWidth="1"/>
    <col min="4" max="4" width="14.125" style="29" bestFit="1" customWidth="1"/>
    <col min="5" max="6" width="10.76171875" style="29" bestFit="1" customWidth="1"/>
  </cols>
  <sheetData>
    <row r="1" spans="1:6" ht="15.75" thickBot="1" x14ac:dyDescent="0.25">
      <c r="A1" s="27"/>
      <c r="B1" s="28" t="s">
        <v>222</v>
      </c>
      <c r="D1" s="27"/>
      <c r="E1" s="27"/>
      <c r="F1" s="27"/>
    </row>
    <row r="2" spans="1:6" ht="15.75" thickTop="1" x14ac:dyDescent="0.2">
      <c r="A2" s="121" t="s">
        <v>1</v>
      </c>
      <c r="B2" s="123" t="s">
        <v>2</v>
      </c>
      <c r="C2" s="106" t="s">
        <v>4</v>
      </c>
      <c r="D2" s="107" t="s">
        <v>5</v>
      </c>
      <c r="E2" s="107"/>
      <c r="F2" s="107"/>
    </row>
    <row r="3" spans="1:6" x14ac:dyDescent="0.2">
      <c r="A3" s="122"/>
      <c r="B3" s="124"/>
      <c r="C3" s="107"/>
      <c r="D3" s="6"/>
      <c r="E3" s="6"/>
      <c r="F3" s="6"/>
    </row>
    <row r="4" spans="1:6" x14ac:dyDescent="0.2">
      <c r="A4" s="30">
        <v>40001</v>
      </c>
      <c r="B4" s="31" t="s">
        <v>223</v>
      </c>
      <c r="C4" s="130" t="str">
        <f>IF('16 bit registers'!D230=""," ",'16 bit registers'!D230)</f>
        <v>Suction Stage 1 Pressure</v>
      </c>
      <c r="D4" s="130" t="str">
        <f>IF('16 bit registers'!E230=""," ",'16 bit registers'!E230)</f>
        <v xml:space="preserve"> </v>
      </c>
      <c r="E4" s="130" t="str">
        <f>IF('16 bit registers'!F230=""," ",'16 bit registers'!F230)</f>
        <v xml:space="preserve"> </v>
      </c>
      <c r="F4" s="130" t="str">
        <f>IF('16 bit registers'!G230=""," ",'16 bit registers'!G230)</f>
        <v xml:space="preserve"> </v>
      </c>
    </row>
    <row r="5" spans="1:6" x14ac:dyDescent="0.2">
      <c r="A5" s="30">
        <f>A4 + 1</f>
        <v>40002</v>
      </c>
      <c r="B5" s="31" t="s">
        <v>224</v>
      </c>
      <c r="C5" s="131"/>
      <c r="D5" s="131"/>
      <c r="E5" s="131"/>
      <c r="F5" s="131"/>
    </row>
    <row r="6" spans="1:6" x14ac:dyDescent="0.2">
      <c r="A6" s="30">
        <f t="shared" ref="A6:A69" si="0">A5 + 1</f>
        <v>40003</v>
      </c>
      <c r="B6" s="31" t="s">
        <v>225</v>
      </c>
      <c r="C6" s="130" t="str">
        <f>IF('16 bit registers'!D231=""," ",'16 bit registers'!D231)</f>
        <v>Discharge Stage 1 Pressure</v>
      </c>
      <c r="D6" s="130" t="str">
        <f>IF('16 bit registers'!E231=""," ",'16 bit registers'!E231)</f>
        <v xml:space="preserve"> </v>
      </c>
      <c r="E6" s="130" t="str">
        <f>IF('16 bit registers'!F231=""," ",'16 bit registers'!F231)</f>
        <v xml:space="preserve"> </v>
      </c>
      <c r="F6" s="130" t="str">
        <f>IF('16 bit registers'!G231=""," ",'16 bit registers'!G231)</f>
        <v xml:space="preserve"> </v>
      </c>
    </row>
    <row r="7" spans="1:6" x14ac:dyDescent="0.2">
      <c r="A7" s="30">
        <f t="shared" si="0"/>
        <v>40004</v>
      </c>
      <c r="B7" s="31" t="s">
        <v>226</v>
      </c>
      <c r="C7" s="131"/>
      <c r="D7" s="131"/>
      <c r="E7" s="131"/>
      <c r="F7" s="131"/>
    </row>
    <row r="8" spans="1:6" x14ac:dyDescent="0.2">
      <c r="A8" s="30">
        <f t="shared" si="0"/>
        <v>40005</v>
      </c>
      <c r="B8" s="31" t="s">
        <v>227</v>
      </c>
      <c r="C8" s="130" t="str">
        <f>IF('16 bit registers'!D232=""," ",'16 bit registers'!D232)</f>
        <v xml:space="preserve"> </v>
      </c>
      <c r="D8" s="130" t="str">
        <f>IF('16 bit registers'!E232=""," ",'16 bit registers'!E232)</f>
        <v xml:space="preserve"> </v>
      </c>
      <c r="E8" s="130" t="str">
        <f>IF('16 bit registers'!F232=""," ",'16 bit registers'!F232)</f>
        <v xml:space="preserve"> </v>
      </c>
      <c r="F8" s="130" t="str">
        <f>IF('16 bit registers'!G232=""," ",'16 bit registers'!G232)</f>
        <v xml:space="preserve"> </v>
      </c>
    </row>
    <row r="9" spans="1:6" x14ac:dyDescent="0.2">
      <c r="A9" s="30">
        <f t="shared" si="0"/>
        <v>40006</v>
      </c>
      <c r="B9" s="31" t="s">
        <v>228</v>
      </c>
      <c r="C9" s="131"/>
      <c r="D9" s="131"/>
      <c r="E9" s="131"/>
      <c r="F9" s="131"/>
    </row>
    <row r="10" spans="1:6" x14ac:dyDescent="0.2">
      <c r="A10" s="30">
        <f t="shared" si="0"/>
        <v>40007</v>
      </c>
      <c r="B10" s="31" t="s">
        <v>229</v>
      </c>
      <c r="C10" s="130" t="str">
        <f>IF('16 bit registers'!D233=""," ",'16 bit registers'!D233)</f>
        <v>Discharge Stage 2 Pressure</v>
      </c>
      <c r="D10" s="130" t="str">
        <f>IF('16 bit registers'!E233=""," ",'16 bit registers'!E233)</f>
        <v xml:space="preserve"> </v>
      </c>
      <c r="E10" s="130" t="str">
        <f>IF('16 bit registers'!F233=""," ",'16 bit registers'!F233)</f>
        <v xml:space="preserve"> </v>
      </c>
      <c r="F10" s="130" t="str">
        <f>IF('16 bit registers'!G233=""," ",'16 bit registers'!G233)</f>
        <v xml:space="preserve"> </v>
      </c>
    </row>
    <row r="11" spans="1:6" x14ac:dyDescent="0.2">
      <c r="A11" s="30">
        <f t="shared" si="0"/>
        <v>40008</v>
      </c>
      <c r="B11" s="31" t="s">
        <v>230</v>
      </c>
      <c r="C11" s="131"/>
      <c r="D11" s="131"/>
      <c r="E11" s="131"/>
      <c r="F11" s="131"/>
    </row>
    <row r="12" spans="1:6" x14ac:dyDescent="0.2">
      <c r="A12" s="30">
        <f t="shared" si="0"/>
        <v>40009</v>
      </c>
      <c r="B12" s="31" t="s">
        <v>231</v>
      </c>
      <c r="C12" s="130" t="str">
        <f>IF('16 bit registers'!D234=""," ",'16 bit registers'!D234)</f>
        <v>3rd Stage Suction Pressure</v>
      </c>
      <c r="D12" s="130" t="str">
        <f>IF('16 bit registers'!E234=""," ",'16 bit registers'!E234)</f>
        <v xml:space="preserve"> </v>
      </c>
      <c r="E12" s="130" t="str">
        <f>IF('16 bit registers'!F234=""," ",'16 bit registers'!F234)</f>
        <v xml:space="preserve"> </v>
      </c>
      <c r="F12" s="130" t="str">
        <f>IF('16 bit registers'!G234=""," ",'16 bit registers'!G234)</f>
        <v xml:space="preserve"> </v>
      </c>
    </row>
    <row r="13" spans="1:6" x14ac:dyDescent="0.2">
      <c r="A13" s="30">
        <f t="shared" si="0"/>
        <v>40010</v>
      </c>
      <c r="B13" s="31" t="s">
        <v>232</v>
      </c>
      <c r="C13" s="131"/>
      <c r="D13" s="131"/>
      <c r="E13" s="131"/>
      <c r="F13" s="131"/>
    </row>
    <row r="14" spans="1:6" x14ac:dyDescent="0.2">
      <c r="A14" s="30">
        <f t="shared" si="0"/>
        <v>40011</v>
      </c>
      <c r="B14" s="31" t="s">
        <v>233</v>
      </c>
      <c r="C14" s="130" t="str">
        <f>IF('16 bit registers'!D235=""," ",'16 bit registers'!D235)</f>
        <v>3rd Stage Discharge Pressure</v>
      </c>
      <c r="D14" s="130" t="str">
        <f>IF('16 bit registers'!E235=""," ",'16 bit registers'!E235)</f>
        <v xml:space="preserve"> </v>
      </c>
      <c r="E14" s="130" t="str">
        <f>IF('16 bit registers'!F235=""," ",'16 bit registers'!F235)</f>
        <v xml:space="preserve"> </v>
      </c>
      <c r="F14" s="130" t="str">
        <f>IF('16 bit registers'!G235=""," ",'16 bit registers'!G235)</f>
        <v xml:space="preserve"> </v>
      </c>
    </row>
    <row r="15" spans="1:6" x14ac:dyDescent="0.2">
      <c r="A15" s="30">
        <f t="shared" si="0"/>
        <v>40012</v>
      </c>
      <c r="B15" s="31" t="s">
        <v>234</v>
      </c>
      <c r="C15" s="131"/>
      <c r="D15" s="131"/>
      <c r="E15" s="131"/>
      <c r="F15" s="131"/>
    </row>
    <row r="16" spans="1:6" x14ac:dyDescent="0.2">
      <c r="A16" s="30">
        <f t="shared" si="0"/>
        <v>40013</v>
      </c>
      <c r="B16" s="31" t="s">
        <v>235</v>
      </c>
      <c r="C16" s="130" t="str">
        <f>IF('16 bit registers'!D236=""," ",'16 bit registers'!D236)</f>
        <v>Compressor Lube Oil Pressure</v>
      </c>
      <c r="D16" s="130" t="str">
        <f>IF('16 bit registers'!E236=""," ",'16 bit registers'!E236)</f>
        <v xml:space="preserve"> </v>
      </c>
      <c r="E16" s="130" t="str">
        <f>IF('16 bit registers'!F236=""," ",'16 bit registers'!F236)</f>
        <v xml:space="preserve"> </v>
      </c>
      <c r="F16" s="130" t="str">
        <f>IF('16 bit registers'!G236=""," ",'16 bit registers'!G236)</f>
        <v xml:space="preserve"> </v>
      </c>
    </row>
    <row r="17" spans="1:6" x14ac:dyDescent="0.2">
      <c r="A17" s="30">
        <f t="shared" si="0"/>
        <v>40014</v>
      </c>
      <c r="B17" s="31" t="s">
        <v>236</v>
      </c>
      <c r="C17" s="131"/>
      <c r="D17" s="131"/>
      <c r="E17" s="131"/>
      <c r="F17" s="131"/>
    </row>
    <row r="18" spans="1:6" x14ac:dyDescent="0.2">
      <c r="A18" s="30">
        <f t="shared" si="0"/>
        <v>40015</v>
      </c>
      <c r="B18" s="31" t="s">
        <v>237</v>
      </c>
      <c r="C18" s="130" t="str">
        <f>IF('16 bit registers'!D237=""," ",'16 bit registers'!D237)</f>
        <v>Engine Lube Oil Pressure</v>
      </c>
      <c r="D18" s="130" t="str">
        <f>IF('16 bit registers'!E237=""," ",'16 bit registers'!E237)</f>
        <v xml:space="preserve"> </v>
      </c>
      <c r="E18" s="130" t="str">
        <f>IF('16 bit registers'!F237=""," ",'16 bit registers'!F237)</f>
        <v xml:space="preserve"> </v>
      </c>
      <c r="F18" s="130" t="str">
        <f>IF('16 bit registers'!G237=""," ",'16 bit registers'!G237)</f>
        <v xml:space="preserve"> </v>
      </c>
    </row>
    <row r="19" spans="1:6" x14ac:dyDescent="0.2">
      <c r="A19" s="30">
        <f t="shared" si="0"/>
        <v>40016</v>
      </c>
      <c r="B19" s="31" t="s">
        <v>238</v>
      </c>
      <c r="C19" s="131"/>
      <c r="D19" s="131"/>
      <c r="E19" s="131"/>
      <c r="F19" s="131"/>
    </row>
    <row r="20" spans="1:6" x14ac:dyDescent="0.2">
      <c r="A20" s="30">
        <f t="shared" si="0"/>
        <v>40017</v>
      </c>
      <c r="B20" s="31" t="s">
        <v>239</v>
      </c>
      <c r="C20" s="130" t="str">
        <f>IF('16 bit registers'!D238=""," ",'16 bit registers'!D238)</f>
        <v>GD01 Gas Detector- Comp side</v>
      </c>
      <c r="D20" s="130" t="str">
        <f>IF('16 bit registers'!E238=""," ",'16 bit registers'!E238)</f>
        <v xml:space="preserve"> </v>
      </c>
      <c r="E20" s="130" t="str">
        <f>IF('16 bit registers'!F238=""," ",'16 bit registers'!F238)</f>
        <v xml:space="preserve"> </v>
      </c>
      <c r="F20" s="130" t="str">
        <f>IF('16 bit registers'!G238=""," ",'16 bit registers'!G238)</f>
        <v xml:space="preserve"> </v>
      </c>
    </row>
    <row r="21" spans="1:6" x14ac:dyDescent="0.2">
      <c r="A21" s="30">
        <f t="shared" si="0"/>
        <v>40018</v>
      </c>
      <c r="B21" s="31" t="s">
        <v>240</v>
      </c>
      <c r="C21" s="131"/>
      <c r="D21" s="131"/>
      <c r="E21" s="131"/>
      <c r="F21" s="131"/>
    </row>
    <row r="22" spans="1:6" x14ac:dyDescent="0.2">
      <c r="A22" s="30">
        <f t="shared" si="0"/>
        <v>40019</v>
      </c>
      <c r="B22" s="31" t="s">
        <v>241</v>
      </c>
      <c r="C22" s="130" t="str">
        <f>IF('16 bit registers'!D239=""," ",'16 bit registers'!D239)</f>
        <v>GD012 Gas Detector- Engine side</v>
      </c>
      <c r="D22" s="130" t="str">
        <f>IF('16 bit registers'!E239=""," ",'16 bit registers'!E239)</f>
        <v xml:space="preserve"> </v>
      </c>
      <c r="E22" s="130" t="str">
        <f>IF('16 bit registers'!F239=""," ",'16 bit registers'!F239)</f>
        <v xml:space="preserve"> </v>
      </c>
      <c r="F22" s="130" t="str">
        <f>IF('16 bit registers'!G239=""," ",'16 bit registers'!G239)</f>
        <v xml:space="preserve"> </v>
      </c>
    </row>
    <row r="23" spans="1:6" x14ac:dyDescent="0.2">
      <c r="A23" s="30">
        <f t="shared" si="0"/>
        <v>40020</v>
      </c>
      <c r="B23" s="31" t="s">
        <v>242</v>
      </c>
      <c r="C23" s="131"/>
      <c r="D23" s="131"/>
      <c r="E23" s="131"/>
      <c r="F23" s="131"/>
    </row>
    <row r="24" spans="1:6" x14ac:dyDescent="0.2">
      <c r="A24" s="30">
        <f t="shared" si="0"/>
        <v>40021</v>
      </c>
      <c r="B24" s="31" t="s">
        <v>243</v>
      </c>
      <c r="C24" s="130" t="str">
        <f>IF('16 bit registers'!D240=""," ",'16 bit registers'!D240)</f>
        <v xml:space="preserve"> </v>
      </c>
      <c r="D24" s="130" t="str">
        <f>IF('16 bit registers'!E240=""," ",'16 bit registers'!E240)</f>
        <v xml:space="preserve"> </v>
      </c>
      <c r="E24" s="130" t="str">
        <f>IF('16 bit registers'!F240=""," ",'16 bit registers'!F240)</f>
        <v xml:space="preserve"> </v>
      </c>
      <c r="F24" s="130" t="str">
        <f>IF('16 bit registers'!G240=""," ",'16 bit registers'!G240)</f>
        <v xml:space="preserve"> </v>
      </c>
    </row>
    <row r="25" spans="1:6" x14ac:dyDescent="0.2">
      <c r="A25" s="30">
        <f t="shared" si="0"/>
        <v>40022</v>
      </c>
      <c r="B25" s="31" t="s">
        <v>244</v>
      </c>
      <c r="C25" s="131"/>
      <c r="D25" s="131"/>
      <c r="E25" s="131"/>
      <c r="F25" s="131"/>
    </row>
    <row r="26" spans="1:6" x14ac:dyDescent="0.2">
      <c r="A26" s="30">
        <f t="shared" si="0"/>
        <v>40023</v>
      </c>
      <c r="B26" s="31" t="s">
        <v>245</v>
      </c>
      <c r="C26" s="130" t="str">
        <f>IF('16 bit registers'!D241=""," ",'16 bit registers'!D241)</f>
        <v xml:space="preserve"> </v>
      </c>
      <c r="D26" s="130" t="str">
        <f>IF('16 bit registers'!E241=""," ",'16 bit registers'!E241)</f>
        <v xml:space="preserve"> </v>
      </c>
      <c r="E26" s="130" t="str">
        <f>IF('16 bit registers'!F241=""," ",'16 bit registers'!F241)</f>
        <v xml:space="preserve"> </v>
      </c>
      <c r="F26" s="130" t="str">
        <f>IF('16 bit registers'!G241=""," ",'16 bit registers'!G241)</f>
        <v xml:space="preserve"> </v>
      </c>
    </row>
    <row r="27" spans="1:6" x14ac:dyDescent="0.2">
      <c r="A27" s="30">
        <f t="shared" si="0"/>
        <v>40024</v>
      </c>
      <c r="B27" s="31" t="s">
        <v>246</v>
      </c>
      <c r="C27" s="131"/>
      <c r="D27" s="131"/>
      <c r="E27" s="131"/>
      <c r="F27" s="131"/>
    </row>
    <row r="28" spans="1:6" x14ac:dyDescent="0.2">
      <c r="A28" s="30">
        <f t="shared" si="0"/>
        <v>40025</v>
      </c>
      <c r="B28" s="31" t="s">
        <v>247</v>
      </c>
      <c r="C28" s="130" t="str">
        <f>IF('16 bit registers'!D242=""," ",'16 bit registers'!D242)</f>
        <v xml:space="preserve"> </v>
      </c>
      <c r="D28" s="130" t="str">
        <f>IF('16 bit registers'!E242=""," ",'16 bit registers'!E242)</f>
        <v xml:space="preserve"> </v>
      </c>
      <c r="E28" s="130" t="str">
        <f>IF('16 bit registers'!F242=""," ",'16 bit registers'!F242)</f>
        <v xml:space="preserve"> </v>
      </c>
      <c r="F28" s="130" t="str">
        <f>IF('16 bit registers'!G242=""," ",'16 bit registers'!G242)</f>
        <v xml:space="preserve"> </v>
      </c>
    </row>
    <row r="29" spans="1:6" x14ac:dyDescent="0.2">
      <c r="A29" s="30">
        <f t="shared" si="0"/>
        <v>40026</v>
      </c>
      <c r="B29" s="31" t="s">
        <v>248</v>
      </c>
      <c r="C29" s="131"/>
      <c r="D29" s="131"/>
      <c r="E29" s="131"/>
      <c r="F29" s="131"/>
    </row>
    <row r="30" spans="1:6" x14ac:dyDescent="0.2">
      <c r="A30" s="30">
        <f t="shared" si="0"/>
        <v>40027</v>
      </c>
      <c r="B30" s="31" t="s">
        <v>249</v>
      </c>
      <c r="C30" s="130" t="str">
        <f>IF('16 bit registers'!D243=""," ",'16 bit registers'!D243)</f>
        <v xml:space="preserve"> </v>
      </c>
      <c r="D30" s="130" t="str">
        <f>IF('16 bit registers'!E243=""," ",'16 bit registers'!E243)</f>
        <v xml:space="preserve"> </v>
      </c>
      <c r="E30" s="130" t="str">
        <f>IF('16 bit registers'!F243=""," ",'16 bit registers'!F243)</f>
        <v xml:space="preserve"> </v>
      </c>
      <c r="F30" s="130" t="str">
        <f>IF('16 bit registers'!G243=""," ",'16 bit registers'!G243)</f>
        <v xml:space="preserve"> </v>
      </c>
    </row>
    <row r="31" spans="1:6" x14ac:dyDescent="0.2">
      <c r="A31" s="30">
        <f t="shared" si="0"/>
        <v>40028</v>
      </c>
      <c r="B31" s="31" t="s">
        <v>250</v>
      </c>
      <c r="C31" s="131"/>
      <c r="D31" s="131"/>
      <c r="E31" s="131"/>
      <c r="F31" s="131"/>
    </row>
    <row r="32" spans="1:6" x14ac:dyDescent="0.2">
      <c r="A32" s="30">
        <f t="shared" si="0"/>
        <v>40029</v>
      </c>
      <c r="B32" s="31" t="s">
        <v>251</v>
      </c>
      <c r="C32" s="130" t="str">
        <f>IF('16 bit registers'!D244=""," ",'16 bit registers'!D244)</f>
        <v xml:space="preserve"> </v>
      </c>
      <c r="D32" s="130" t="str">
        <f>IF('16 bit registers'!E244=""," ",'16 bit registers'!E244)</f>
        <v xml:space="preserve"> </v>
      </c>
      <c r="E32" s="130" t="str">
        <f>IF('16 bit registers'!F244=""," ",'16 bit registers'!F244)</f>
        <v xml:space="preserve"> </v>
      </c>
      <c r="F32" s="130" t="str">
        <f>IF('16 bit registers'!G244=""," ",'16 bit registers'!G244)</f>
        <v xml:space="preserve"> </v>
      </c>
    </row>
    <row r="33" spans="1:6" x14ac:dyDescent="0.2">
      <c r="A33" s="30">
        <f t="shared" si="0"/>
        <v>40030</v>
      </c>
      <c r="B33" s="31" t="s">
        <v>252</v>
      </c>
      <c r="C33" s="131"/>
      <c r="D33" s="131"/>
      <c r="E33" s="131"/>
      <c r="F33" s="131"/>
    </row>
    <row r="34" spans="1:6" x14ac:dyDescent="0.2">
      <c r="A34" s="30">
        <f t="shared" si="0"/>
        <v>40031</v>
      </c>
      <c r="B34" s="31" t="s">
        <v>253</v>
      </c>
      <c r="C34" s="130" t="str">
        <f>IF('16 bit registers'!D245=""," ",'16 bit registers'!D245)</f>
        <v xml:space="preserve"> </v>
      </c>
      <c r="D34" s="130" t="str">
        <f>IF('16 bit registers'!E245=""," ",'16 bit registers'!E245)</f>
        <v xml:space="preserve"> </v>
      </c>
      <c r="E34" s="130" t="str">
        <f>IF('16 bit registers'!F245=""," ",'16 bit registers'!F245)</f>
        <v xml:space="preserve"> </v>
      </c>
      <c r="F34" s="130" t="str">
        <f>IF('16 bit registers'!G245=""," ",'16 bit registers'!G245)</f>
        <v xml:space="preserve"> </v>
      </c>
    </row>
    <row r="35" spans="1:6" x14ac:dyDescent="0.2">
      <c r="A35" s="30">
        <f t="shared" si="0"/>
        <v>40032</v>
      </c>
      <c r="B35" s="31" t="s">
        <v>254</v>
      </c>
      <c r="C35" s="131"/>
      <c r="D35" s="131"/>
      <c r="E35" s="131"/>
      <c r="F35" s="131"/>
    </row>
    <row r="36" spans="1:6" x14ac:dyDescent="0.2">
      <c r="A36" s="30">
        <f t="shared" si="0"/>
        <v>40033</v>
      </c>
      <c r="B36" s="31" t="s">
        <v>255</v>
      </c>
      <c r="C36" s="130" t="str">
        <f>IF('16 bit registers'!D246=""," ",'16 bit registers'!D246)</f>
        <v>Lube No Flow switch</v>
      </c>
      <c r="D36" s="130" t="str">
        <f>IF('16 bit registers'!E246=""," ",'16 bit registers'!E246)</f>
        <v xml:space="preserve"> </v>
      </c>
      <c r="E36" s="130" t="str">
        <f>IF('16 bit registers'!F246=""," ",'16 bit registers'!F246)</f>
        <v xml:space="preserve"> </v>
      </c>
      <c r="F36" s="130" t="str">
        <f>IF('16 bit registers'!G246=""," ",'16 bit registers'!G246)</f>
        <v xml:space="preserve"> </v>
      </c>
    </row>
    <row r="37" spans="1:6" x14ac:dyDescent="0.2">
      <c r="A37" s="30">
        <f t="shared" si="0"/>
        <v>40034</v>
      </c>
      <c r="B37" s="31" t="s">
        <v>256</v>
      </c>
      <c r="C37" s="131"/>
      <c r="D37" s="131"/>
      <c r="E37" s="131"/>
      <c r="F37" s="131"/>
    </row>
    <row r="38" spans="1:6" x14ac:dyDescent="0.2">
      <c r="A38" s="30">
        <f t="shared" si="0"/>
        <v>40035</v>
      </c>
      <c r="B38" s="31" t="s">
        <v>257</v>
      </c>
      <c r="C38" s="130" t="str">
        <f>IF('16 bit registers'!D247=""," ",'16 bit registers'!D247)</f>
        <v>Engine Oil Level LSLL</v>
      </c>
      <c r="D38" s="130" t="str">
        <f>IF('16 bit registers'!E247=""," ",'16 bit registers'!E247)</f>
        <v xml:space="preserve"> </v>
      </c>
      <c r="E38" s="130" t="str">
        <f>IF('16 bit registers'!F247=""," ",'16 bit registers'!F247)</f>
        <v xml:space="preserve"> </v>
      </c>
      <c r="F38" s="130" t="str">
        <f>IF('16 bit registers'!G247=""," ",'16 bit registers'!G247)</f>
        <v xml:space="preserve"> </v>
      </c>
    </row>
    <row r="39" spans="1:6" x14ac:dyDescent="0.2">
      <c r="A39" s="30">
        <f t="shared" si="0"/>
        <v>40036</v>
      </c>
      <c r="B39" s="31" t="s">
        <v>258</v>
      </c>
      <c r="C39" s="131"/>
      <c r="D39" s="131"/>
      <c r="E39" s="131"/>
      <c r="F39" s="131"/>
    </row>
    <row r="40" spans="1:6" x14ac:dyDescent="0.2">
      <c r="A40" s="30">
        <f t="shared" si="0"/>
        <v>40037</v>
      </c>
      <c r="B40" s="31" t="s">
        <v>259</v>
      </c>
      <c r="C40" s="130" t="str">
        <f>IF('16 bit registers'!D248=""," ",'16 bit registers'!D248)</f>
        <v>Compressor Oil Level LSLL</v>
      </c>
      <c r="D40" s="130" t="str">
        <f>IF('16 bit registers'!E248=""," ",'16 bit registers'!E248)</f>
        <v xml:space="preserve"> </v>
      </c>
      <c r="E40" s="130" t="str">
        <f>IF('16 bit registers'!F248=""," ",'16 bit registers'!F248)</f>
        <v xml:space="preserve"> </v>
      </c>
      <c r="F40" s="130" t="str">
        <f>IF('16 bit registers'!G248=""," ",'16 bit registers'!G248)</f>
        <v xml:space="preserve"> </v>
      </c>
    </row>
    <row r="41" spans="1:6" x14ac:dyDescent="0.2">
      <c r="A41" s="30">
        <f t="shared" si="0"/>
        <v>40038</v>
      </c>
      <c r="B41" s="31" t="s">
        <v>260</v>
      </c>
      <c r="C41" s="131"/>
      <c r="D41" s="131"/>
      <c r="E41" s="131"/>
      <c r="F41" s="131"/>
    </row>
    <row r="42" spans="1:6" x14ac:dyDescent="0.2">
      <c r="A42" s="30">
        <f t="shared" si="0"/>
        <v>40039</v>
      </c>
      <c r="B42" s="31" t="s">
        <v>261</v>
      </c>
      <c r="C42" s="130" t="str">
        <f>IF('16 bit registers'!D249=""," ",'16 bit registers'!D249)</f>
        <v>Engine JW water Level LSLL</v>
      </c>
      <c r="D42" s="130" t="str">
        <f>IF('16 bit registers'!E249=""," ",'16 bit registers'!E249)</f>
        <v xml:space="preserve"> </v>
      </c>
      <c r="E42" s="130" t="str">
        <f>IF('16 bit registers'!F249=""," ",'16 bit registers'!F249)</f>
        <v xml:space="preserve"> </v>
      </c>
      <c r="F42" s="130" t="str">
        <f>IF('16 bit registers'!G249=""," ",'16 bit registers'!G249)</f>
        <v xml:space="preserve"> </v>
      </c>
    </row>
    <row r="43" spans="1:6" x14ac:dyDescent="0.2">
      <c r="A43" s="30">
        <f t="shared" si="0"/>
        <v>40040</v>
      </c>
      <c r="B43" s="31" t="s">
        <v>262</v>
      </c>
      <c r="C43" s="131"/>
      <c r="D43" s="131"/>
      <c r="E43" s="131"/>
      <c r="F43" s="131"/>
    </row>
    <row r="44" spans="1:6" x14ac:dyDescent="0.2">
      <c r="A44" s="30">
        <f t="shared" si="0"/>
        <v>40041</v>
      </c>
      <c r="B44" s="31" t="s">
        <v>263</v>
      </c>
      <c r="C44" s="130" t="str">
        <f>IF('16 bit registers'!D250=""," ",'16 bit registers'!D250)</f>
        <v>Engine Aux Water Level LSLL</v>
      </c>
      <c r="D44" s="130" t="str">
        <f>IF('16 bit registers'!E250=""," ",'16 bit registers'!E250)</f>
        <v xml:space="preserve"> </v>
      </c>
      <c r="E44" s="130" t="str">
        <f>IF('16 bit registers'!F250=""," ",'16 bit registers'!F250)</f>
        <v xml:space="preserve"> </v>
      </c>
      <c r="F44" s="130" t="str">
        <f>IF('16 bit registers'!G250=""," ",'16 bit registers'!G250)</f>
        <v xml:space="preserve"> </v>
      </c>
    </row>
    <row r="45" spans="1:6" x14ac:dyDescent="0.2">
      <c r="A45" s="30">
        <f t="shared" si="0"/>
        <v>40042</v>
      </c>
      <c r="B45" s="31" t="s">
        <v>264</v>
      </c>
      <c r="C45" s="131"/>
      <c r="D45" s="131"/>
      <c r="E45" s="131"/>
      <c r="F45" s="131"/>
    </row>
    <row r="46" spans="1:6" x14ac:dyDescent="0.2">
      <c r="A46" s="30">
        <f t="shared" si="0"/>
        <v>40043</v>
      </c>
      <c r="B46" s="31" t="s">
        <v>265</v>
      </c>
      <c r="C46" s="130" t="str">
        <f>IF('16 bit registers'!D251=""," ",'16 bit registers'!D251)</f>
        <v>Cooler Vibration VSHH</v>
      </c>
      <c r="D46" s="130" t="str">
        <f>IF('16 bit registers'!E251=""," ",'16 bit registers'!E251)</f>
        <v xml:space="preserve"> </v>
      </c>
      <c r="E46" s="130" t="str">
        <f>IF('16 bit registers'!F251=""," ",'16 bit registers'!F251)</f>
        <v xml:space="preserve"> </v>
      </c>
      <c r="F46" s="130" t="str">
        <f>IF('16 bit registers'!G251=""," ",'16 bit registers'!G251)</f>
        <v xml:space="preserve"> </v>
      </c>
    </row>
    <row r="47" spans="1:6" x14ac:dyDescent="0.2">
      <c r="A47" s="30">
        <f t="shared" si="0"/>
        <v>40044</v>
      </c>
      <c r="B47" s="31" t="s">
        <v>266</v>
      </c>
      <c r="C47" s="131"/>
      <c r="D47" s="131"/>
      <c r="E47" s="131"/>
      <c r="F47" s="131"/>
    </row>
    <row r="48" spans="1:6" x14ac:dyDescent="0.2">
      <c r="A48" s="30">
        <f t="shared" si="0"/>
        <v>40045</v>
      </c>
      <c r="B48" s="31" t="s">
        <v>267</v>
      </c>
      <c r="C48" s="130" t="str">
        <f>IF('16 bit registers'!D252=""," ",'16 bit registers'!D252)</f>
        <v>Compressor Vibration VSHH</v>
      </c>
      <c r="D48" s="130" t="str">
        <f>IF('16 bit registers'!E252=""," ",'16 bit registers'!E252)</f>
        <v xml:space="preserve"> </v>
      </c>
      <c r="E48" s="130" t="str">
        <f>IF('16 bit registers'!F252=""," ",'16 bit registers'!F252)</f>
        <v xml:space="preserve"> </v>
      </c>
      <c r="F48" s="130" t="str">
        <f>IF('16 bit registers'!G252=""," ",'16 bit registers'!G252)</f>
        <v xml:space="preserve"> </v>
      </c>
    </row>
    <row r="49" spans="1:6" x14ac:dyDescent="0.2">
      <c r="A49" s="30">
        <f t="shared" si="0"/>
        <v>40046</v>
      </c>
      <c r="B49" s="31" t="s">
        <v>268</v>
      </c>
      <c r="C49" s="131"/>
      <c r="D49" s="131"/>
      <c r="E49" s="131"/>
      <c r="F49" s="131"/>
    </row>
    <row r="50" spans="1:6" x14ac:dyDescent="0.2">
      <c r="A50" s="30">
        <f t="shared" si="0"/>
        <v>40047</v>
      </c>
      <c r="B50" s="31" t="s">
        <v>269</v>
      </c>
      <c r="C50" s="130" t="str">
        <f>IF('16 bit registers'!D253=""," ",'16 bit registers'!D253)</f>
        <v>Engine Vibration VSHH</v>
      </c>
      <c r="D50" s="130" t="str">
        <f>IF('16 bit registers'!E253=""," ",'16 bit registers'!E253)</f>
        <v xml:space="preserve"> </v>
      </c>
      <c r="E50" s="130" t="str">
        <f>IF('16 bit registers'!F253=""," ",'16 bit registers'!F253)</f>
        <v xml:space="preserve"> </v>
      </c>
      <c r="F50" s="130" t="str">
        <f>IF('16 bit registers'!G253=""," ",'16 bit registers'!G253)</f>
        <v xml:space="preserve"> </v>
      </c>
    </row>
    <row r="51" spans="1:6" x14ac:dyDescent="0.2">
      <c r="A51" s="30">
        <f t="shared" si="0"/>
        <v>40048</v>
      </c>
      <c r="B51" s="31" t="s">
        <v>270</v>
      </c>
      <c r="C51" s="131"/>
      <c r="D51" s="131"/>
      <c r="E51" s="131"/>
      <c r="F51" s="131"/>
    </row>
    <row r="52" spans="1:6" x14ac:dyDescent="0.2">
      <c r="A52" s="30">
        <f t="shared" si="0"/>
        <v>40049</v>
      </c>
      <c r="B52" s="31" t="s">
        <v>271</v>
      </c>
      <c r="C52" s="130" t="str">
        <f>IF('16 bit registers'!D254=""," ",'16 bit registers'!D254)</f>
        <v>1st STG Scrubber Level HIGH</v>
      </c>
      <c r="D52" s="130" t="str">
        <f>IF('16 bit registers'!E254=""," ",'16 bit registers'!E254)</f>
        <v xml:space="preserve"> </v>
      </c>
      <c r="E52" s="130" t="str">
        <f>IF('16 bit registers'!F254=""," ",'16 bit registers'!F254)</f>
        <v xml:space="preserve"> </v>
      </c>
      <c r="F52" s="130" t="str">
        <f>IF('16 bit registers'!G254=""," ",'16 bit registers'!G254)</f>
        <v xml:space="preserve"> </v>
      </c>
    </row>
    <row r="53" spans="1:6" x14ac:dyDescent="0.2">
      <c r="A53" s="30">
        <f t="shared" si="0"/>
        <v>40050</v>
      </c>
      <c r="B53" s="31" t="s">
        <v>272</v>
      </c>
      <c r="C53" s="131"/>
      <c r="D53" s="131"/>
      <c r="E53" s="131"/>
      <c r="F53" s="131"/>
    </row>
    <row r="54" spans="1:6" x14ac:dyDescent="0.2">
      <c r="A54" s="30">
        <f t="shared" si="0"/>
        <v>40051</v>
      </c>
      <c r="B54" s="31" t="s">
        <v>273</v>
      </c>
      <c r="C54" s="130" t="str">
        <f>IF('16 bit registers'!D255=""," ",'16 bit registers'!D255)</f>
        <v>2nd Stg Scrubber Level HIGH</v>
      </c>
      <c r="D54" s="130" t="str">
        <f>IF('16 bit registers'!E255=""," ",'16 bit registers'!E255)</f>
        <v xml:space="preserve"> </v>
      </c>
      <c r="E54" s="130" t="str">
        <f>IF('16 bit registers'!F255=""," ",'16 bit registers'!F255)</f>
        <v xml:space="preserve"> </v>
      </c>
      <c r="F54" s="130" t="str">
        <f>IF('16 bit registers'!G255=""," ",'16 bit registers'!G255)</f>
        <v xml:space="preserve"> </v>
      </c>
    </row>
    <row r="55" spans="1:6" x14ac:dyDescent="0.2">
      <c r="A55" s="30">
        <f t="shared" si="0"/>
        <v>40052</v>
      </c>
      <c r="B55" s="31" t="s">
        <v>274</v>
      </c>
      <c r="C55" s="131"/>
      <c r="D55" s="131"/>
      <c r="E55" s="131"/>
      <c r="F55" s="131"/>
    </row>
    <row r="56" spans="1:6" x14ac:dyDescent="0.2">
      <c r="A56" s="30">
        <f t="shared" si="0"/>
        <v>40053</v>
      </c>
      <c r="B56" s="31" t="s">
        <v>275</v>
      </c>
      <c r="C56" s="130" t="str">
        <f>IF('16 bit registers'!D256=""," ",'16 bit registers'!D256)</f>
        <v>3rd STG Scrubber Level HIGH</v>
      </c>
      <c r="D56" s="130" t="str">
        <f>IF('16 bit registers'!E256=""," ",'16 bit registers'!E256)</f>
        <v xml:space="preserve"> </v>
      </c>
      <c r="E56" s="130" t="str">
        <f>IF('16 bit registers'!F256=""," ",'16 bit registers'!F256)</f>
        <v xml:space="preserve"> </v>
      </c>
      <c r="F56" s="130" t="str">
        <f>IF('16 bit registers'!G256=""," ",'16 bit registers'!G256)</f>
        <v xml:space="preserve"> </v>
      </c>
    </row>
    <row r="57" spans="1:6" x14ac:dyDescent="0.2">
      <c r="A57" s="30">
        <f t="shared" si="0"/>
        <v>40054</v>
      </c>
      <c r="B57" s="31" t="s">
        <v>276</v>
      </c>
      <c r="C57" s="131"/>
      <c r="D57" s="131"/>
      <c r="E57" s="131"/>
      <c r="F57" s="131"/>
    </row>
    <row r="58" spans="1:6" x14ac:dyDescent="0.2">
      <c r="A58" s="30">
        <f t="shared" si="0"/>
        <v>40055</v>
      </c>
      <c r="B58" s="31" t="s">
        <v>277</v>
      </c>
      <c r="C58" s="130" t="str">
        <f>IF('16 bit registers'!D257=""," ",'16 bit registers'!D257)</f>
        <v>CEC DSM Fault</v>
      </c>
      <c r="D58" s="130" t="str">
        <f>IF('16 bit registers'!E257=""," ",'16 bit registers'!E257)</f>
        <v xml:space="preserve"> </v>
      </c>
      <c r="E58" s="130" t="str">
        <f>IF('16 bit registers'!F257=""," ",'16 bit registers'!F257)</f>
        <v xml:space="preserve"> </v>
      </c>
      <c r="F58" s="130" t="str">
        <f>IF('16 bit registers'!G257=""," ",'16 bit registers'!G257)</f>
        <v xml:space="preserve"> </v>
      </c>
    </row>
    <row r="59" spans="1:6" x14ac:dyDescent="0.2">
      <c r="A59" s="30">
        <f t="shared" si="0"/>
        <v>40056</v>
      </c>
      <c r="B59" s="31" t="s">
        <v>278</v>
      </c>
      <c r="C59" s="131"/>
      <c r="D59" s="131"/>
      <c r="E59" s="131"/>
      <c r="F59" s="131"/>
    </row>
    <row r="60" spans="1:6" x14ac:dyDescent="0.2">
      <c r="A60" s="30">
        <f t="shared" si="0"/>
        <v>40057</v>
      </c>
      <c r="B60" s="31" t="s">
        <v>279</v>
      </c>
      <c r="C60" s="130" t="str">
        <f>IF('16 bit registers'!D258=""," ",'16 bit registers'!D258)</f>
        <v>Engine Started</v>
      </c>
      <c r="D60" s="130" t="str">
        <f>IF('16 bit registers'!E258=""," ",'16 bit registers'!E258)</f>
        <v xml:space="preserve"> </v>
      </c>
      <c r="E60" s="130" t="str">
        <f>IF('16 bit registers'!F258=""," ",'16 bit registers'!F258)</f>
        <v xml:space="preserve"> </v>
      </c>
      <c r="F60" s="130" t="str">
        <f>IF('16 bit registers'!G258=""," ",'16 bit registers'!G258)</f>
        <v xml:space="preserve"> </v>
      </c>
    </row>
    <row r="61" spans="1:6" x14ac:dyDescent="0.2">
      <c r="A61" s="30">
        <f t="shared" si="0"/>
        <v>40058</v>
      </c>
      <c r="B61" s="31" t="s">
        <v>280</v>
      </c>
      <c r="C61" s="131"/>
      <c r="D61" s="131"/>
      <c r="E61" s="131"/>
      <c r="F61" s="131"/>
    </row>
    <row r="62" spans="1:6" x14ac:dyDescent="0.2">
      <c r="A62" s="30">
        <f t="shared" si="0"/>
        <v>40059</v>
      </c>
      <c r="B62" s="31" t="s">
        <v>281</v>
      </c>
      <c r="C62" s="130" t="str">
        <f>IF('16 bit registers'!D259=""," ",'16 bit registers'!D259)</f>
        <v>Remote Stop USD</v>
      </c>
      <c r="D62" s="130" t="str">
        <f>IF('16 bit registers'!E259=""," ",'16 bit registers'!E259)</f>
        <v xml:space="preserve"> </v>
      </c>
      <c r="E62" s="130" t="str">
        <f>IF('16 bit registers'!F259=""," ",'16 bit registers'!F259)</f>
        <v xml:space="preserve"> </v>
      </c>
      <c r="F62" s="130" t="str">
        <f>IF('16 bit registers'!G259=""," ",'16 bit registers'!G259)</f>
        <v xml:space="preserve"> </v>
      </c>
    </row>
    <row r="63" spans="1:6" x14ac:dyDescent="0.2">
      <c r="A63" s="30">
        <f t="shared" si="0"/>
        <v>40060</v>
      </c>
      <c r="B63" s="31" t="s">
        <v>282</v>
      </c>
      <c r="C63" s="131"/>
      <c r="D63" s="131"/>
      <c r="E63" s="131"/>
      <c r="F63" s="131"/>
    </row>
    <row r="64" spans="1:6" x14ac:dyDescent="0.2">
      <c r="A64" s="30">
        <f t="shared" si="0"/>
        <v>40061</v>
      </c>
      <c r="B64" s="31" t="s">
        <v>283</v>
      </c>
      <c r="C64" s="130" t="str">
        <f>IF('16 bit registers'!D260=""," ",'16 bit registers'!D260)</f>
        <v>Station ESD</v>
      </c>
      <c r="D64" s="130" t="str">
        <f>IF('16 bit registers'!E260=""," ",'16 bit registers'!E260)</f>
        <v xml:space="preserve"> </v>
      </c>
      <c r="E64" s="130" t="str">
        <f>IF('16 bit registers'!F260=""," ",'16 bit registers'!F260)</f>
        <v xml:space="preserve"> </v>
      </c>
      <c r="F64" s="130" t="str">
        <f>IF('16 bit registers'!G260=""," ",'16 bit registers'!G260)</f>
        <v xml:space="preserve"> </v>
      </c>
    </row>
    <row r="65" spans="1:6" x14ac:dyDescent="0.2">
      <c r="A65" s="30">
        <f t="shared" si="0"/>
        <v>40062</v>
      </c>
      <c r="B65" s="31" t="s">
        <v>284</v>
      </c>
      <c r="C65" s="131"/>
      <c r="D65" s="131"/>
      <c r="E65" s="131"/>
      <c r="F65" s="131"/>
    </row>
    <row r="66" spans="1:6" x14ac:dyDescent="0.2">
      <c r="A66" s="30">
        <f t="shared" si="0"/>
        <v>40063</v>
      </c>
      <c r="B66" s="31" t="s">
        <v>285</v>
      </c>
      <c r="C66" s="130" t="str">
        <f>IF('16 bit registers'!D261=""," ",'16 bit registers'!D261)</f>
        <v>Panel Emergency Stop</v>
      </c>
      <c r="D66" s="130" t="str">
        <f>IF('16 bit registers'!E261=""," ",'16 bit registers'!E261)</f>
        <v xml:space="preserve"> </v>
      </c>
      <c r="E66" s="130" t="str">
        <f>IF('16 bit registers'!F261=""," ",'16 bit registers'!F261)</f>
        <v xml:space="preserve"> </v>
      </c>
      <c r="F66" s="130" t="str">
        <f>IF('16 bit registers'!G261=""," ",'16 bit registers'!G261)</f>
        <v xml:space="preserve"> </v>
      </c>
    </row>
    <row r="67" spans="1:6" x14ac:dyDescent="0.2">
      <c r="A67" s="30">
        <f t="shared" si="0"/>
        <v>40064</v>
      </c>
      <c r="B67" s="31" t="s">
        <v>286</v>
      </c>
      <c r="C67" s="131"/>
      <c r="D67" s="131"/>
      <c r="E67" s="131"/>
      <c r="F67" s="131"/>
    </row>
    <row r="68" spans="1:6" x14ac:dyDescent="0.2">
      <c r="A68" s="30">
        <f t="shared" si="0"/>
        <v>40065</v>
      </c>
      <c r="B68" s="31" t="s">
        <v>287</v>
      </c>
      <c r="C68" s="130" t="str">
        <f>IF(TB_IO!D1&lt;2,"N/A",IF('16 bit registers'!D262=""," ",'16 bit registers'!D262))</f>
        <v>COMPRESSOR OIL TEMP</v>
      </c>
      <c r="D68" s="130" t="str">
        <f>IF(TB_IO!D1&lt;2,"N/A",IF('16 bit registers'!E262=""," ",'16 bit registers'!E262))</f>
        <v xml:space="preserve"> </v>
      </c>
      <c r="E68" s="130" t="str">
        <f>IF('16 bit registers'!F262=""," ",'16 bit registers'!F262)</f>
        <v xml:space="preserve"> </v>
      </c>
      <c r="F68" s="130" t="str">
        <f>IF('16 bit registers'!G262=""," ",'16 bit registers'!G262)</f>
        <v xml:space="preserve"> </v>
      </c>
    </row>
    <row r="69" spans="1:6" x14ac:dyDescent="0.2">
      <c r="A69" s="30">
        <f t="shared" si="0"/>
        <v>40066</v>
      </c>
      <c r="B69" s="31" t="s">
        <v>288</v>
      </c>
      <c r="C69" s="131"/>
      <c r="D69" s="131"/>
      <c r="E69" s="131"/>
      <c r="F69" s="131"/>
    </row>
    <row r="70" spans="1:6" x14ac:dyDescent="0.2">
      <c r="A70" s="30">
        <f t="shared" ref="A70:A133" si="1">A69 + 1</f>
        <v>40067</v>
      </c>
      <c r="B70" s="31" t="s">
        <v>289</v>
      </c>
      <c r="C70" s="130" t="str">
        <f>IF(TB_IO!D1&lt;2,"N/A",IF('16 bit registers'!D263=""," ",'16 bit registers'!D263))</f>
        <v>CYL#1 DISCHARGE TEMP</v>
      </c>
      <c r="D70" s="130" t="str">
        <f>IF(TB_IO!D1&lt;2,"N/A",IF('16 bit registers'!E263=""," ",'16 bit registers'!E263))</f>
        <v xml:space="preserve"> </v>
      </c>
      <c r="E70" s="130" t="str">
        <f>IF('16 bit registers'!F263=""," ",'16 bit registers'!F263)</f>
        <v xml:space="preserve"> </v>
      </c>
      <c r="F70" s="130" t="str">
        <f>IF('16 bit registers'!G263=""," ",'16 bit registers'!G263)</f>
        <v xml:space="preserve"> </v>
      </c>
    </row>
    <row r="71" spans="1:6" x14ac:dyDescent="0.2">
      <c r="A71" s="30">
        <f t="shared" si="1"/>
        <v>40068</v>
      </c>
      <c r="B71" s="31" t="s">
        <v>290</v>
      </c>
      <c r="C71" s="131"/>
      <c r="D71" s="131"/>
      <c r="E71" s="131"/>
      <c r="F71" s="131"/>
    </row>
    <row r="72" spans="1:6" x14ac:dyDescent="0.2">
      <c r="A72" s="30">
        <f t="shared" si="1"/>
        <v>40069</v>
      </c>
      <c r="B72" s="31" t="s">
        <v>291</v>
      </c>
      <c r="C72" s="130" t="str">
        <f>IF(TB_IO!D1&lt;2,"N/A",IF('16 bit registers'!D264=""," ",'16 bit registers'!D264))</f>
        <v>CYL#2 DISCHARGE TEMP</v>
      </c>
      <c r="D72" s="130" t="str">
        <f>IF(TB_IO!D1&lt;2,"N/A",IF('16 bit registers'!E264=""," ",'16 bit registers'!E264))</f>
        <v xml:space="preserve"> </v>
      </c>
      <c r="E72" s="130" t="str">
        <f>IF('16 bit registers'!F264=""," ",'16 bit registers'!F264)</f>
        <v xml:space="preserve"> </v>
      </c>
      <c r="F72" s="130" t="str">
        <f>IF('16 bit registers'!G264=""," ",'16 bit registers'!G264)</f>
        <v xml:space="preserve"> </v>
      </c>
    </row>
    <row r="73" spans="1:6" x14ac:dyDescent="0.2">
      <c r="A73" s="30">
        <f t="shared" si="1"/>
        <v>40070</v>
      </c>
      <c r="B73" s="31" t="s">
        <v>292</v>
      </c>
      <c r="C73" s="131"/>
      <c r="D73" s="131"/>
      <c r="E73" s="131"/>
      <c r="F73" s="131"/>
    </row>
    <row r="74" spans="1:6" x14ac:dyDescent="0.2">
      <c r="A74" s="30">
        <f t="shared" si="1"/>
        <v>40071</v>
      </c>
      <c r="B74" s="31" t="s">
        <v>293</v>
      </c>
      <c r="C74" s="130" t="str">
        <f>IF(TB_IO!D1&lt;2,"N/A",IF('16 bit registers'!D265=""," ",'16 bit registers'!D265))</f>
        <v>CYL#3 DISCHARGE TEMP</v>
      </c>
      <c r="D74" s="130" t="str">
        <f>IF(TB_IO!D1&lt;2,"N/A",IF('16 bit registers'!E265=""," ",'16 bit registers'!E265))</f>
        <v xml:space="preserve"> </v>
      </c>
      <c r="E74" s="130" t="str">
        <f>IF('16 bit registers'!F265=""," ",'16 bit registers'!F265)</f>
        <v xml:space="preserve"> </v>
      </c>
      <c r="F74" s="130" t="str">
        <f>IF('16 bit registers'!G265=""," ",'16 bit registers'!G265)</f>
        <v xml:space="preserve"> </v>
      </c>
    </row>
    <row r="75" spans="1:6" x14ac:dyDescent="0.2">
      <c r="A75" s="30">
        <f t="shared" si="1"/>
        <v>40072</v>
      </c>
      <c r="B75" s="31" t="s">
        <v>294</v>
      </c>
      <c r="C75" s="131"/>
      <c r="D75" s="131"/>
      <c r="E75" s="131"/>
      <c r="F75" s="131"/>
    </row>
    <row r="76" spans="1:6" x14ac:dyDescent="0.2">
      <c r="A76" s="30">
        <f t="shared" si="1"/>
        <v>40073</v>
      </c>
      <c r="B76" s="31" t="s">
        <v>295</v>
      </c>
      <c r="C76" s="130" t="str">
        <f>IF(TB_IO!D1&lt;2,"N/A",IF('16 bit registers'!D266=""," ",'16 bit registers'!D266))</f>
        <v>CYL#4 DISCHARGE TEMP</v>
      </c>
      <c r="D76" s="130" t="str">
        <f>IF(TB_IO!D1&lt;2,"N/A",IF('16 bit registers'!E266=""," ",'16 bit registers'!E266))</f>
        <v xml:space="preserve"> </v>
      </c>
      <c r="E76" s="130" t="str">
        <f>IF('16 bit registers'!F266=""," ",'16 bit registers'!F266)</f>
        <v xml:space="preserve"> </v>
      </c>
      <c r="F76" s="130" t="str">
        <f>IF('16 bit registers'!G266=""," ",'16 bit registers'!G266)</f>
        <v xml:space="preserve"> </v>
      </c>
    </row>
    <row r="77" spans="1:6" x14ac:dyDescent="0.2">
      <c r="A77" s="30">
        <f t="shared" si="1"/>
        <v>40074</v>
      </c>
      <c r="B77" s="31" t="s">
        <v>296</v>
      </c>
      <c r="C77" s="131"/>
      <c r="D77" s="131"/>
      <c r="E77" s="131"/>
      <c r="F77" s="131"/>
    </row>
    <row r="78" spans="1:6" x14ac:dyDescent="0.2">
      <c r="A78" s="30">
        <f t="shared" si="1"/>
        <v>40075</v>
      </c>
      <c r="B78" s="31" t="s">
        <v>297</v>
      </c>
      <c r="C78" s="130" t="str">
        <f>IF(TB_IO!D1&lt;2,"N/A",IF('16 bit registers'!D267=""," ",'16 bit registers'!D267))</f>
        <v xml:space="preserve"> </v>
      </c>
      <c r="D78" s="130" t="str">
        <f>IF(TB_IO!D1&lt;2,"N/A",IF('16 bit registers'!E267=""," ",'16 bit registers'!E267))</f>
        <v xml:space="preserve"> </v>
      </c>
      <c r="E78" s="130" t="str">
        <f>IF('16 bit registers'!F267=""," ",'16 bit registers'!F267)</f>
        <v xml:space="preserve"> </v>
      </c>
      <c r="F78" s="130" t="str">
        <f>IF('16 bit registers'!G267=""," ",'16 bit registers'!G267)</f>
        <v xml:space="preserve"> </v>
      </c>
    </row>
    <row r="79" spans="1:6" x14ac:dyDescent="0.2">
      <c r="A79" s="30">
        <f t="shared" si="1"/>
        <v>40076</v>
      </c>
      <c r="B79" s="31" t="s">
        <v>298</v>
      </c>
      <c r="C79" s="131"/>
      <c r="D79" s="131"/>
      <c r="E79" s="131"/>
      <c r="F79" s="131"/>
    </row>
    <row r="80" spans="1:6" x14ac:dyDescent="0.2">
      <c r="A80" s="30">
        <f t="shared" si="1"/>
        <v>40077</v>
      </c>
      <c r="B80" s="31" t="s">
        <v>299</v>
      </c>
      <c r="C80" s="130" t="str">
        <f>IF(TB_IO!D1&lt;2,"N/A",IF('16 bit registers'!D268=""," ",'16 bit registers'!D268))</f>
        <v xml:space="preserve"> </v>
      </c>
      <c r="D80" s="130" t="str">
        <f>IF(TB_IO!D1&lt;2,"N/A",IF('16 bit registers'!E268=""," ",'16 bit registers'!E268))</f>
        <v xml:space="preserve"> </v>
      </c>
      <c r="E80" s="130" t="str">
        <f>IF('16 bit registers'!F268=""," ",'16 bit registers'!F268)</f>
        <v xml:space="preserve"> </v>
      </c>
      <c r="F80" s="130" t="str">
        <f>IF('16 bit registers'!G268=""," ",'16 bit registers'!G268)</f>
        <v xml:space="preserve"> </v>
      </c>
    </row>
    <row r="81" spans="1:6" x14ac:dyDescent="0.2">
      <c r="A81" s="30">
        <f t="shared" si="1"/>
        <v>40078</v>
      </c>
      <c r="B81" s="31" t="s">
        <v>300</v>
      </c>
      <c r="C81" s="131"/>
      <c r="D81" s="131"/>
      <c r="E81" s="131"/>
      <c r="F81" s="131"/>
    </row>
    <row r="82" spans="1:6" x14ac:dyDescent="0.2">
      <c r="A82" s="30">
        <f t="shared" si="1"/>
        <v>40079</v>
      </c>
      <c r="B82" s="31" t="s">
        <v>301</v>
      </c>
      <c r="C82" s="130" t="str">
        <f>IF(TB_IO!D1&lt;2,"N/A",IF('16 bit registers'!D269=""," ",'16 bit registers'!D269))</f>
        <v xml:space="preserve"> </v>
      </c>
      <c r="D82" s="130" t="str">
        <f>IF(TB_IO!D1&lt;2,"N/A",IF('16 bit registers'!E269=""," ",'16 bit registers'!E269))</f>
        <v xml:space="preserve"> </v>
      </c>
      <c r="E82" s="130" t="str">
        <f>IF('16 bit registers'!F269=""," ",'16 bit registers'!F269)</f>
        <v xml:space="preserve"> </v>
      </c>
      <c r="F82" s="130" t="str">
        <f>IF('16 bit registers'!G269=""," ",'16 bit registers'!G269)</f>
        <v xml:space="preserve"> </v>
      </c>
    </row>
    <row r="83" spans="1:6" x14ac:dyDescent="0.2">
      <c r="A83" s="30">
        <f t="shared" si="1"/>
        <v>40080</v>
      </c>
      <c r="B83" s="31" t="s">
        <v>302</v>
      </c>
      <c r="C83" s="131"/>
      <c r="D83" s="131"/>
      <c r="E83" s="131"/>
      <c r="F83" s="131"/>
    </row>
    <row r="84" spans="1:6" x14ac:dyDescent="0.2">
      <c r="A84" s="30">
        <f t="shared" si="1"/>
        <v>40081</v>
      </c>
      <c r="B84" s="31" t="s">
        <v>303</v>
      </c>
      <c r="C84" s="130" t="str">
        <f>IF(TB_IO!D1&lt;2,"N/A",IF('16 bit registers'!D270=""," ",'16 bit registers'!D270))</f>
        <v>ENGINE OIL TEMP</v>
      </c>
      <c r="D84" s="130" t="str">
        <f>IF(TB_IO!D1&lt;2,"N/A",IF('16 bit registers'!E270=""," ",'16 bit registers'!E270))</f>
        <v xml:space="preserve"> </v>
      </c>
      <c r="E84" s="130" t="str">
        <f>IF('16 bit registers'!F270=""," ",'16 bit registers'!F270)</f>
        <v xml:space="preserve"> </v>
      </c>
      <c r="F84" s="130" t="str">
        <f>IF('16 bit registers'!G270=""," ",'16 bit registers'!G270)</f>
        <v xml:space="preserve"> </v>
      </c>
    </row>
    <row r="85" spans="1:6" x14ac:dyDescent="0.2">
      <c r="A85" s="30">
        <f t="shared" si="1"/>
        <v>40082</v>
      </c>
      <c r="B85" s="31" t="s">
        <v>304</v>
      </c>
      <c r="C85" s="131"/>
      <c r="D85" s="131"/>
      <c r="E85" s="131"/>
      <c r="F85" s="131"/>
    </row>
    <row r="86" spans="1:6" x14ac:dyDescent="0.2">
      <c r="A86" s="30">
        <f t="shared" si="1"/>
        <v>40083</v>
      </c>
      <c r="B86" s="31" t="s">
        <v>305</v>
      </c>
      <c r="C86" s="130" t="str">
        <f>IF(TB_IO!D1&lt;2,"N/A",IF('16 bit registers'!D271=""," ",'16 bit registers'!D271))</f>
        <v>ENGINE JACKET WATER TEMP</v>
      </c>
      <c r="D86" s="130" t="str">
        <f>IF(TB_IO!D1&lt;2,"N/A",IF('16 bit registers'!E271=""," ",'16 bit registers'!E271))</f>
        <v xml:space="preserve"> </v>
      </c>
      <c r="E86" s="130" t="str">
        <f>IF('16 bit registers'!F271=""," ",'16 bit registers'!F271)</f>
        <v xml:space="preserve"> </v>
      </c>
      <c r="F86" s="130" t="str">
        <f>IF('16 bit registers'!G271=""," ",'16 bit registers'!G271)</f>
        <v xml:space="preserve"> </v>
      </c>
    </row>
    <row r="87" spans="1:6" x14ac:dyDescent="0.2">
      <c r="A87" s="30">
        <f t="shared" si="1"/>
        <v>40084</v>
      </c>
      <c r="B87" s="31" t="s">
        <v>306</v>
      </c>
      <c r="C87" s="131"/>
      <c r="D87" s="131"/>
      <c r="E87" s="131"/>
      <c r="F87" s="131"/>
    </row>
    <row r="88" spans="1:6" x14ac:dyDescent="0.2">
      <c r="A88" s="30">
        <f t="shared" si="1"/>
        <v>40085</v>
      </c>
      <c r="B88" s="31" t="s">
        <v>307</v>
      </c>
      <c r="C88" s="130" t="str">
        <f>IF(TB_IO!D1&lt;2,"N/A",IF('16 bit registers'!D272=""," ",'16 bit registers'!D272))</f>
        <v>Engine ESD Right Side</v>
      </c>
      <c r="D88" s="130" t="str">
        <f>IF(TB_IO!D1&lt;2,"N/A",IF('16 bit registers'!E272=""," ",'16 bit registers'!E272))</f>
        <v xml:space="preserve"> </v>
      </c>
      <c r="E88" s="130" t="str">
        <f>IF('16 bit registers'!F272=""," ",'16 bit registers'!F272)</f>
        <v xml:space="preserve"> </v>
      </c>
      <c r="F88" s="130" t="str">
        <f>IF('16 bit registers'!G272=""," ",'16 bit registers'!G272)</f>
        <v xml:space="preserve"> </v>
      </c>
    </row>
    <row r="89" spans="1:6" x14ac:dyDescent="0.2">
      <c r="A89" s="30">
        <f t="shared" si="1"/>
        <v>40086</v>
      </c>
      <c r="B89" s="31" t="s">
        <v>308</v>
      </c>
      <c r="C89" s="131"/>
      <c r="D89" s="131"/>
      <c r="E89" s="131"/>
      <c r="F89" s="131"/>
    </row>
    <row r="90" spans="1:6" x14ac:dyDescent="0.2">
      <c r="A90" s="30">
        <f t="shared" si="1"/>
        <v>40087</v>
      </c>
      <c r="B90" s="31" t="s">
        <v>309</v>
      </c>
      <c r="C90" s="130" t="str">
        <f>IF(TB_IO!D1&lt;2,"N/A",IF('16 bit registers'!D273=""," ",'16 bit registers'!D273))</f>
        <v>Engine ESD Left Side</v>
      </c>
      <c r="D90" s="130" t="str">
        <f>IF(TB_IO!D1&lt;2,"N/A",IF('16 bit registers'!E273=""," ",'16 bit registers'!E273))</f>
        <v xml:space="preserve"> </v>
      </c>
      <c r="E90" s="130" t="str">
        <f>IF('16 bit registers'!F273=""," ",'16 bit registers'!F273)</f>
        <v xml:space="preserve"> </v>
      </c>
      <c r="F90" s="130" t="str">
        <f>IF('16 bit registers'!G273=""," ",'16 bit registers'!G273)</f>
        <v xml:space="preserve"> </v>
      </c>
    </row>
    <row r="91" spans="1:6" x14ac:dyDescent="0.2">
      <c r="A91" s="30">
        <f t="shared" si="1"/>
        <v>40088</v>
      </c>
      <c r="B91" s="31" t="s">
        <v>310</v>
      </c>
      <c r="C91" s="131"/>
      <c r="D91" s="131"/>
      <c r="E91" s="131"/>
      <c r="F91" s="131"/>
    </row>
    <row r="92" spans="1:6" x14ac:dyDescent="0.2">
      <c r="A92" s="30">
        <f t="shared" si="1"/>
        <v>40089</v>
      </c>
      <c r="B92" s="31" t="s">
        <v>311</v>
      </c>
      <c r="C92" s="130" t="str">
        <f>IF(TB_IO!D1&lt;2,"N/A",IF('16 bit registers'!D274=""," ",'16 bit registers'!D274))</f>
        <v xml:space="preserve"> </v>
      </c>
      <c r="D92" s="130" t="str">
        <f>IF(TB_IO!D1&lt;2,"N/A",IF('16 bit registers'!E274=""," ",'16 bit registers'!E274))</f>
        <v xml:space="preserve"> </v>
      </c>
      <c r="E92" s="130" t="str">
        <f>IF('16 bit registers'!F274=""," ",'16 bit registers'!F274)</f>
        <v xml:space="preserve"> </v>
      </c>
      <c r="F92" s="130" t="str">
        <f>IF('16 bit registers'!G274=""," ",'16 bit registers'!G274)</f>
        <v xml:space="preserve"> </v>
      </c>
    </row>
    <row r="93" spans="1:6" x14ac:dyDescent="0.2">
      <c r="A93" s="30">
        <f t="shared" si="1"/>
        <v>40090</v>
      </c>
      <c r="B93" s="31" t="s">
        <v>312</v>
      </c>
      <c r="C93" s="131"/>
      <c r="D93" s="131"/>
      <c r="E93" s="131"/>
      <c r="F93" s="131"/>
    </row>
    <row r="94" spans="1:6" x14ac:dyDescent="0.2">
      <c r="A94" s="30">
        <f t="shared" si="1"/>
        <v>40091</v>
      </c>
      <c r="B94" s="31" t="s">
        <v>313</v>
      </c>
      <c r="C94" s="130" t="str">
        <f>IF(TB_IO!D1&lt;2,"N/A",IF('16 bit registers'!D275=""," ",'16 bit registers'!D275))</f>
        <v xml:space="preserve"> </v>
      </c>
      <c r="D94" s="130" t="str">
        <f>IF(TB_IO!D1&lt;2,"N/A",IF('16 bit registers'!E275=""," ",'16 bit registers'!E275))</f>
        <v xml:space="preserve"> </v>
      </c>
      <c r="E94" s="130" t="str">
        <f>IF('16 bit registers'!F275=""," ",'16 bit registers'!F275)</f>
        <v xml:space="preserve"> </v>
      </c>
      <c r="F94" s="130" t="str">
        <f>IF('16 bit registers'!G275=""," ",'16 bit registers'!G275)</f>
        <v xml:space="preserve"> </v>
      </c>
    </row>
    <row r="95" spans="1:6" x14ac:dyDescent="0.2">
      <c r="A95" s="30">
        <f t="shared" si="1"/>
        <v>40092</v>
      </c>
      <c r="B95" s="31" t="s">
        <v>314</v>
      </c>
      <c r="C95" s="131"/>
      <c r="D95" s="131"/>
      <c r="E95" s="131"/>
      <c r="F95" s="131"/>
    </row>
    <row r="96" spans="1:6" x14ac:dyDescent="0.2">
      <c r="A96" s="30">
        <f t="shared" si="1"/>
        <v>40093</v>
      </c>
      <c r="B96" s="31" t="s">
        <v>315</v>
      </c>
      <c r="C96" s="130" t="str">
        <f>IF(TB_IO!D1&lt;2,"N/A",IF('16 bit registers'!D276=""," ",'16 bit registers'!D276))</f>
        <v xml:space="preserve"> </v>
      </c>
      <c r="D96" s="130" t="str">
        <f>IF(TB_IO!D1&lt;2,"N/A",IF('16 bit registers'!E276=""," ",'16 bit registers'!E276))</f>
        <v xml:space="preserve"> </v>
      </c>
      <c r="E96" s="130" t="str">
        <f>IF('16 bit registers'!F276=""," ",'16 bit registers'!F276)</f>
        <v xml:space="preserve"> </v>
      </c>
      <c r="F96" s="130" t="str">
        <f>IF('16 bit registers'!G276=""," ",'16 bit registers'!G276)</f>
        <v xml:space="preserve"> </v>
      </c>
    </row>
    <row r="97" spans="1:6" x14ac:dyDescent="0.2">
      <c r="A97" s="30">
        <f t="shared" si="1"/>
        <v>40094</v>
      </c>
      <c r="B97" s="31" t="s">
        <v>316</v>
      </c>
      <c r="C97" s="131"/>
      <c r="D97" s="131"/>
      <c r="E97" s="131"/>
      <c r="F97" s="131"/>
    </row>
    <row r="98" spans="1:6" x14ac:dyDescent="0.2">
      <c r="A98" s="30">
        <f t="shared" si="1"/>
        <v>40095</v>
      </c>
      <c r="B98" s="31" t="s">
        <v>317</v>
      </c>
      <c r="C98" s="130" t="str">
        <f>IF(TB_IO!D1&lt;2,"N/A",IF('16 bit registers'!D277=""," ",'16 bit registers'!D277))</f>
        <v xml:space="preserve"> </v>
      </c>
      <c r="D98" s="130" t="str">
        <f>IF(TB_IO!D1&lt;2,"N/A",IF('16 bit registers'!E277=""," ",'16 bit registers'!E277))</f>
        <v xml:space="preserve"> </v>
      </c>
      <c r="E98" s="130" t="str">
        <f>IF('16 bit registers'!F277=""," ",'16 bit registers'!F277)</f>
        <v xml:space="preserve"> </v>
      </c>
      <c r="F98" s="130" t="str">
        <f>IF('16 bit registers'!G277=""," ",'16 bit registers'!G277)</f>
        <v xml:space="preserve"> </v>
      </c>
    </row>
    <row r="99" spans="1:6" x14ac:dyDescent="0.2">
      <c r="A99" s="30">
        <f t="shared" si="1"/>
        <v>40096</v>
      </c>
      <c r="B99" s="31" t="s">
        <v>318</v>
      </c>
      <c r="C99" s="131"/>
      <c r="D99" s="131"/>
      <c r="E99" s="131"/>
      <c r="F99" s="131"/>
    </row>
    <row r="100" spans="1:6" x14ac:dyDescent="0.2">
      <c r="A100" s="30">
        <f t="shared" si="1"/>
        <v>40097</v>
      </c>
      <c r="B100" s="31" t="s">
        <v>319</v>
      </c>
      <c r="C100" s="130" t="str">
        <f>IF(TB_IO!D1&lt;2,"N/A",IF('16 bit registers'!D278=""," ",'16 bit registers'!D278))</f>
        <v>ENGINE EXHAUST CYL 1 Left</v>
      </c>
      <c r="D100" s="130" t="str">
        <f>IF(TB_IO!D1&lt;2,"N/A",IF('16 bit registers'!E278=""," ",'16 bit registers'!E278))</f>
        <v xml:space="preserve"> </v>
      </c>
      <c r="E100" s="130" t="str">
        <f>IF('16 bit registers'!F278=""," ",'16 bit registers'!F278)</f>
        <v xml:space="preserve"> </v>
      </c>
      <c r="F100" s="130" t="str">
        <f>IF('16 bit registers'!G278=""," ",'16 bit registers'!G278)</f>
        <v xml:space="preserve"> </v>
      </c>
    </row>
    <row r="101" spans="1:6" x14ac:dyDescent="0.2">
      <c r="A101" s="30">
        <f t="shared" si="1"/>
        <v>40098</v>
      </c>
      <c r="B101" s="31" t="s">
        <v>320</v>
      </c>
      <c r="C101" s="131"/>
      <c r="D101" s="131"/>
      <c r="E101" s="131"/>
      <c r="F101" s="131"/>
    </row>
    <row r="102" spans="1:6" x14ac:dyDescent="0.2">
      <c r="A102" s="30">
        <f t="shared" si="1"/>
        <v>40099</v>
      </c>
      <c r="B102" s="31" t="s">
        <v>321</v>
      </c>
      <c r="C102" s="130" t="str">
        <f>IF(TB_IO!D1&lt;2,"N/A",IF('16 bit registers'!D279=""," ",'16 bit registers'!D279))</f>
        <v>ENGINE EXHAUST CYL 2 Left</v>
      </c>
      <c r="D102" s="130" t="str">
        <f>IF(TB_IO!D1&lt;2,"N/A",IF('16 bit registers'!E279=""," ",'16 bit registers'!E279))</f>
        <v xml:space="preserve"> </v>
      </c>
      <c r="E102" s="130" t="str">
        <f>IF('16 bit registers'!F279=""," ",'16 bit registers'!F279)</f>
        <v xml:space="preserve"> </v>
      </c>
      <c r="F102" s="130" t="str">
        <f>IF('16 bit registers'!G279=""," ",'16 bit registers'!G279)</f>
        <v xml:space="preserve"> </v>
      </c>
    </row>
    <row r="103" spans="1:6" x14ac:dyDescent="0.2">
      <c r="A103" s="30">
        <f t="shared" si="1"/>
        <v>40100</v>
      </c>
      <c r="B103" s="31" t="s">
        <v>322</v>
      </c>
      <c r="C103" s="131"/>
      <c r="D103" s="131"/>
      <c r="E103" s="131"/>
      <c r="F103" s="131"/>
    </row>
    <row r="104" spans="1:6" x14ac:dyDescent="0.2">
      <c r="A104" s="30">
        <f t="shared" si="1"/>
        <v>40101</v>
      </c>
      <c r="B104" s="31" t="s">
        <v>323</v>
      </c>
      <c r="C104" s="130" t="str">
        <f>IF(TB_IO!D1&lt;2,"N/A",IF('16 bit registers'!D280=""," ",'16 bit registers'!D280))</f>
        <v>ENGINE EXHAUST CYL 3 Left</v>
      </c>
      <c r="D104" s="130" t="str">
        <f>IF(TB_IO!D1&lt;2,"N/A",IF('16 bit registers'!E280=""," ",'16 bit registers'!E280))</f>
        <v xml:space="preserve"> </v>
      </c>
      <c r="E104" s="130" t="str">
        <f>IF('16 bit registers'!F280=""," ",'16 bit registers'!F280)</f>
        <v xml:space="preserve"> </v>
      </c>
      <c r="F104" s="130" t="str">
        <f>IF('16 bit registers'!G280=""," ",'16 bit registers'!G280)</f>
        <v xml:space="preserve"> </v>
      </c>
    </row>
    <row r="105" spans="1:6" x14ac:dyDescent="0.2">
      <c r="A105" s="30">
        <f t="shared" si="1"/>
        <v>40102</v>
      </c>
      <c r="B105" s="31" t="s">
        <v>324</v>
      </c>
      <c r="C105" s="131"/>
      <c r="D105" s="131"/>
      <c r="E105" s="131"/>
      <c r="F105" s="131"/>
    </row>
    <row r="106" spans="1:6" x14ac:dyDescent="0.2">
      <c r="A106" s="30">
        <f t="shared" si="1"/>
        <v>40103</v>
      </c>
      <c r="B106" s="31" t="s">
        <v>325</v>
      </c>
      <c r="C106" s="130" t="str">
        <f>IF(TB_IO!D1&lt;2,"N/A",IF('16 bit registers'!D281=""," ",'16 bit registers'!D281))</f>
        <v>ENGINE EXHAUST CYL 4 Left</v>
      </c>
      <c r="D106" s="130" t="str">
        <f>IF(TB_IO!D1&lt;2,"N/A",IF('16 bit registers'!E281=""," ",'16 bit registers'!E281))</f>
        <v xml:space="preserve"> </v>
      </c>
      <c r="E106" s="130" t="str">
        <f>IF('16 bit registers'!F281=""," ",'16 bit registers'!F281)</f>
        <v xml:space="preserve"> </v>
      </c>
      <c r="F106" s="130" t="str">
        <f>IF('16 bit registers'!G281=""," ",'16 bit registers'!G281)</f>
        <v xml:space="preserve"> </v>
      </c>
    </row>
    <row r="107" spans="1:6" x14ac:dyDescent="0.2">
      <c r="A107" s="30">
        <f t="shared" si="1"/>
        <v>40104</v>
      </c>
      <c r="B107" s="31" t="s">
        <v>326</v>
      </c>
      <c r="C107" s="131"/>
      <c r="D107" s="131"/>
      <c r="E107" s="131"/>
      <c r="F107" s="131"/>
    </row>
    <row r="108" spans="1:6" x14ac:dyDescent="0.2">
      <c r="A108" s="30">
        <f t="shared" si="1"/>
        <v>40105</v>
      </c>
      <c r="B108" s="31" t="s">
        <v>327</v>
      </c>
      <c r="C108" s="130" t="str">
        <f>IF(TB_IO!D1&lt;2,"N/A",IF('16 bit registers'!D282=""," ",'16 bit registers'!D282))</f>
        <v>ENGINE EXHAUST CYL 5 Left</v>
      </c>
      <c r="D108" s="130" t="str">
        <f>IF(TB_IO!D1&lt;2,"N/A",IF('16 bit registers'!E282=""," ",'16 bit registers'!E282))</f>
        <v xml:space="preserve"> </v>
      </c>
      <c r="E108" s="130" t="str">
        <f>IF('16 bit registers'!F282=""," ",'16 bit registers'!F282)</f>
        <v xml:space="preserve"> </v>
      </c>
      <c r="F108" s="130" t="str">
        <f>IF('16 bit registers'!G282=""," ",'16 bit registers'!G282)</f>
        <v xml:space="preserve"> </v>
      </c>
    </row>
    <row r="109" spans="1:6" x14ac:dyDescent="0.2">
      <c r="A109" s="30">
        <f t="shared" si="1"/>
        <v>40106</v>
      </c>
      <c r="B109" s="31" t="s">
        <v>328</v>
      </c>
      <c r="C109" s="131"/>
      <c r="D109" s="131"/>
      <c r="E109" s="131"/>
      <c r="F109" s="131"/>
    </row>
    <row r="110" spans="1:6" x14ac:dyDescent="0.2">
      <c r="A110" s="30">
        <f t="shared" si="1"/>
        <v>40107</v>
      </c>
      <c r="B110" s="31" t="s">
        <v>329</v>
      </c>
      <c r="C110" s="130" t="str">
        <f>IF(TB_IO!D1&lt;2,"N/A",IF('16 bit registers'!D283=""," ",'16 bit registers'!D283))</f>
        <v>ENGINE EXHAUST CYL 6 Left</v>
      </c>
      <c r="D110" s="130" t="str">
        <f>IF(TB_IO!D1&lt;2,"N/A",IF('16 bit registers'!E283=""," ",'16 bit registers'!E283))</f>
        <v xml:space="preserve"> </v>
      </c>
      <c r="E110" s="130" t="str">
        <f>IF('16 bit registers'!F283=""," ",'16 bit registers'!F283)</f>
        <v xml:space="preserve"> </v>
      </c>
      <c r="F110" s="130" t="str">
        <f>IF('16 bit registers'!G283=""," ",'16 bit registers'!G283)</f>
        <v xml:space="preserve"> </v>
      </c>
    </row>
    <row r="111" spans="1:6" x14ac:dyDescent="0.2">
      <c r="A111" s="30">
        <f t="shared" si="1"/>
        <v>40108</v>
      </c>
      <c r="B111" s="31" t="s">
        <v>330</v>
      </c>
      <c r="C111" s="131"/>
      <c r="D111" s="131"/>
      <c r="E111" s="131"/>
      <c r="F111" s="131"/>
    </row>
    <row r="112" spans="1:6" x14ac:dyDescent="0.2">
      <c r="A112" s="30">
        <f t="shared" si="1"/>
        <v>40109</v>
      </c>
      <c r="B112" s="31" t="s">
        <v>331</v>
      </c>
      <c r="C112" s="130" t="str">
        <f>IF(TB_IO!D1&lt;2,"N/A",IF('16 bit registers'!D284=""," ",'16 bit registers'!D284))</f>
        <v>ENGINE EXHAUST CYL 1 Right</v>
      </c>
      <c r="D112" s="130" t="str">
        <f>IF(TB_IO!D1&lt;2,"N/A",IF('16 bit registers'!E284=""," ",'16 bit registers'!E284))</f>
        <v xml:space="preserve"> </v>
      </c>
      <c r="E112" s="130" t="str">
        <f>IF('16 bit registers'!F284=""," ",'16 bit registers'!F284)</f>
        <v xml:space="preserve"> </v>
      </c>
      <c r="F112" s="130" t="str">
        <f>IF('16 bit registers'!G284=""," ",'16 bit registers'!G284)</f>
        <v xml:space="preserve"> </v>
      </c>
    </row>
    <row r="113" spans="1:6" x14ac:dyDescent="0.2">
      <c r="A113" s="30">
        <f t="shared" si="1"/>
        <v>40110</v>
      </c>
      <c r="B113" s="31" t="s">
        <v>332</v>
      </c>
      <c r="C113" s="131"/>
      <c r="D113" s="131"/>
      <c r="E113" s="131"/>
      <c r="F113" s="131"/>
    </row>
    <row r="114" spans="1:6" x14ac:dyDescent="0.2">
      <c r="A114" s="30">
        <f t="shared" si="1"/>
        <v>40111</v>
      </c>
      <c r="B114" s="31" t="s">
        <v>333</v>
      </c>
      <c r="C114" s="130" t="str">
        <f>IF(TB_IO!D1&lt;2,"N/A",IF('16 bit registers'!D285=""," ",'16 bit registers'!D285))</f>
        <v>ENGINE EXHAUST CYL 2 Right</v>
      </c>
      <c r="D114" s="130" t="str">
        <f>IF(TB_IO!D1&lt;2,"N/A",IF('16 bit registers'!E285=""," ",'16 bit registers'!E285))</f>
        <v xml:space="preserve"> </v>
      </c>
      <c r="E114" s="130" t="str">
        <f>IF('16 bit registers'!F285=""," ",'16 bit registers'!F285)</f>
        <v xml:space="preserve"> </v>
      </c>
      <c r="F114" s="130" t="str">
        <f>IF('16 bit registers'!G285=""," ",'16 bit registers'!G285)</f>
        <v xml:space="preserve"> </v>
      </c>
    </row>
    <row r="115" spans="1:6" x14ac:dyDescent="0.2">
      <c r="A115" s="30">
        <f t="shared" si="1"/>
        <v>40112</v>
      </c>
      <c r="B115" s="31" t="s">
        <v>334</v>
      </c>
      <c r="C115" s="131"/>
      <c r="D115" s="131"/>
      <c r="E115" s="131"/>
      <c r="F115" s="131"/>
    </row>
    <row r="116" spans="1:6" x14ac:dyDescent="0.2">
      <c r="A116" s="30">
        <f t="shared" si="1"/>
        <v>40113</v>
      </c>
      <c r="B116" s="31" t="s">
        <v>335</v>
      </c>
      <c r="C116" s="130" t="str">
        <f>IF(TB_IO!D1&lt;2,"N/A",IF('16 bit registers'!D286=""," ",'16 bit registers'!D286))</f>
        <v>ENGINE EXHAUST CYL 3 Right</v>
      </c>
      <c r="D116" s="130" t="str">
        <f>IF(TB_IO!D1&lt;2,"N/A",IF('16 bit registers'!E286=""," ",'16 bit registers'!E286))</f>
        <v xml:space="preserve"> </v>
      </c>
      <c r="E116" s="130" t="str">
        <f>IF('16 bit registers'!F286=""," ",'16 bit registers'!F286)</f>
        <v xml:space="preserve"> </v>
      </c>
      <c r="F116" s="130" t="str">
        <f>IF('16 bit registers'!G286=""," ",'16 bit registers'!G286)</f>
        <v xml:space="preserve"> </v>
      </c>
    </row>
    <row r="117" spans="1:6" x14ac:dyDescent="0.2">
      <c r="A117" s="30">
        <f t="shared" si="1"/>
        <v>40114</v>
      </c>
      <c r="B117" s="31" t="s">
        <v>336</v>
      </c>
      <c r="C117" s="131"/>
      <c r="D117" s="131"/>
      <c r="E117" s="131"/>
      <c r="F117" s="131"/>
    </row>
    <row r="118" spans="1:6" x14ac:dyDescent="0.2">
      <c r="A118" s="30">
        <f t="shared" si="1"/>
        <v>40115</v>
      </c>
      <c r="B118" s="31" t="s">
        <v>337</v>
      </c>
      <c r="C118" s="130" t="str">
        <f>IF(TB_IO!D1&lt;2,"N/A",IF('16 bit registers'!D287=""," ",'16 bit registers'!D287))</f>
        <v>ENGINE EXHAUST CYL 4 Right</v>
      </c>
      <c r="D118" s="130" t="str">
        <f>IF(TB_IO!D1&lt;2,"N/A",IF('16 bit registers'!E287=""," ",'16 bit registers'!E287))</f>
        <v xml:space="preserve"> </v>
      </c>
      <c r="E118" s="130" t="str">
        <f>IF('16 bit registers'!F287=""," ",'16 bit registers'!F287)</f>
        <v xml:space="preserve"> </v>
      </c>
      <c r="F118" s="130" t="str">
        <f>IF('16 bit registers'!G287=""," ",'16 bit registers'!G287)</f>
        <v xml:space="preserve"> </v>
      </c>
    </row>
    <row r="119" spans="1:6" x14ac:dyDescent="0.2">
      <c r="A119" s="30">
        <f t="shared" si="1"/>
        <v>40116</v>
      </c>
      <c r="B119" s="31" t="s">
        <v>338</v>
      </c>
      <c r="C119" s="131"/>
      <c r="D119" s="131"/>
      <c r="E119" s="131"/>
      <c r="F119" s="131"/>
    </row>
    <row r="120" spans="1:6" x14ac:dyDescent="0.2">
      <c r="A120" s="30">
        <f t="shared" si="1"/>
        <v>40117</v>
      </c>
      <c r="B120" s="31" t="s">
        <v>339</v>
      </c>
      <c r="C120" s="130" t="str">
        <f>IF(TB_IO!D1&lt;2,"N/A",IF('16 bit registers'!D288=""," ",'16 bit registers'!D288))</f>
        <v>ENGINE EXHAUST CYL 5 Right</v>
      </c>
      <c r="D120" s="130" t="str">
        <f>IF(TB_IO!D1&lt;2,"N/A",IF('16 bit registers'!E288=""," ",'16 bit registers'!E288))</f>
        <v xml:space="preserve"> </v>
      </c>
      <c r="E120" s="130" t="str">
        <f>IF('16 bit registers'!F288=""," ",'16 bit registers'!F288)</f>
        <v xml:space="preserve"> </v>
      </c>
      <c r="F120" s="130" t="str">
        <f>IF('16 bit registers'!G288=""," ",'16 bit registers'!G288)</f>
        <v xml:space="preserve"> </v>
      </c>
    </row>
    <row r="121" spans="1:6" x14ac:dyDescent="0.2">
      <c r="A121" s="30">
        <f t="shared" si="1"/>
        <v>40118</v>
      </c>
      <c r="B121" s="31" t="s">
        <v>340</v>
      </c>
      <c r="C121" s="131"/>
      <c r="D121" s="131"/>
      <c r="E121" s="131"/>
      <c r="F121" s="131"/>
    </row>
    <row r="122" spans="1:6" x14ac:dyDescent="0.2">
      <c r="A122" s="30">
        <f t="shared" si="1"/>
        <v>40119</v>
      </c>
      <c r="B122" s="31" t="s">
        <v>341</v>
      </c>
      <c r="C122" s="130" t="str">
        <f>IF(TB_IO!D1&lt;2,"N/A",IF('16 bit registers'!D289=""," ",'16 bit registers'!D289))</f>
        <v>ENGINE EXHAUST CYL 6 Right</v>
      </c>
      <c r="D122" s="130" t="str">
        <f>IF(TB_IO!D1&lt;2,"N/A",IF('16 bit registers'!E289=""," ",'16 bit registers'!E289))</f>
        <v xml:space="preserve"> </v>
      </c>
      <c r="E122" s="130" t="str">
        <f>IF('16 bit registers'!F289=""," ",'16 bit registers'!F289)</f>
        <v xml:space="preserve"> </v>
      </c>
      <c r="F122" s="130" t="str">
        <f>IF('16 bit registers'!G289=""," ",'16 bit registers'!G289)</f>
        <v xml:space="preserve"> </v>
      </c>
    </row>
    <row r="123" spans="1:6" x14ac:dyDescent="0.2">
      <c r="A123" s="30">
        <f t="shared" si="1"/>
        <v>40120</v>
      </c>
      <c r="B123" s="31" t="s">
        <v>342</v>
      </c>
      <c r="C123" s="131"/>
      <c r="D123" s="131"/>
      <c r="E123" s="131"/>
      <c r="F123" s="131"/>
    </row>
    <row r="124" spans="1:6" x14ac:dyDescent="0.2">
      <c r="A124" s="30">
        <f t="shared" si="1"/>
        <v>40121</v>
      </c>
      <c r="B124" s="31" t="s">
        <v>343</v>
      </c>
      <c r="C124" s="130" t="str">
        <f>IF(TB_IO!D1&lt;2,"N/A",IF('16 bit registers'!D290=""," ",'16 bit registers'!D290))</f>
        <v>ENGINE EXHAUST PRE TURBO Left</v>
      </c>
      <c r="D124" s="130" t="str">
        <f>IF(TB_IO!D1&lt;2,"N/A",IF('16 bit registers'!E290=""," ",'16 bit registers'!E290))</f>
        <v xml:space="preserve"> </v>
      </c>
      <c r="E124" s="130" t="str">
        <f>IF('16 bit registers'!F290=""," ",'16 bit registers'!F290)</f>
        <v xml:space="preserve"> </v>
      </c>
      <c r="F124" s="130" t="str">
        <f>IF('16 bit registers'!G290=""," ",'16 bit registers'!G290)</f>
        <v xml:space="preserve"> </v>
      </c>
    </row>
    <row r="125" spans="1:6" x14ac:dyDescent="0.2">
      <c r="A125" s="30">
        <f t="shared" si="1"/>
        <v>40122</v>
      </c>
      <c r="B125" s="31" t="s">
        <v>344</v>
      </c>
      <c r="C125" s="131"/>
      <c r="D125" s="131"/>
      <c r="E125" s="131"/>
      <c r="F125" s="131"/>
    </row>
    <row r="126" spans="1:6" x14ac:dyDescent="0.2">
      <c r="A126" s="30">
        <f t="shared" si="1"/>
        <v>40123</v>
      </c>
      <c r="B126" s="31" t="s">
        <v>345</v>
      </c>
      <c r="C126" s="130" t="str">
        <f>IF(TB_IO!D1&lt;2,"N/A",IF('16 bit registers'!D291=""," ",'16 bit registers'!D291))</f>
        <v>ENGINE EXHAUST PRE TURBO Right</v>
      </c>
      <c r="D126" s="130" t="str">
        <f>IF(TB_IO!D1&lt;2,"N/A",IF('16 bit registers'!E291=""," ",'16 bit registers'!E291))</f>
        <v xml:space="preserve"> </v>
      </c>
      <c r="E126" s="130" t="str">
        <f>IF('16 bit registers'!F291=""," ",'16 bit registers'!F291)</f>
        <v xml:space="preserve"> </v>
      </c>
      <c r="F126" s="130" t="str">
        <f>IF('16 bit registers'!G291=""," ",'16 bit registers'!G291)</f>
        <v xml:space="preserve"> </v>
      </c>
    </row>
    <row r="127" spans="1:6" x14ac:dyDescent="0.2">
      <c r="A127" s="30">
        <f t="shared" si="1"/>
        <v>40124</v>
      </c>
      <c r="B127" s="31" t="s">
        <v>346</v>
      </c>
      <c r="C127" s="131"/>
      <c r="D127" s="131"/>
      <c r="E127" s="131"/>
      <c r="F127" s="131"/>
    </row>
    <row r="128" spans="1:6" x14ac:dyDescent="0.2">
      <c r="A128" s="30">
        <f t="shared" si="1"/>
        <v>40125</v>
      </c>
      <c r="B128" s="31" t="s">
        <v>347</v>
      </c>
      <c r="C128" s="130" t="str">
        <f>IF(TB_IO!D1&lt;2,"N/A",IF('16 bit registers'!D292=""," ",'16 bit registers'!D292))</f>
        <v>ENGINE AIR MANIFOLD Left</v>
      </c>
      <c r="D128" s="130" t="str">
        <f>IF(TB_IO!D1&lt;2,"N/A",IF('16 bit registers'!E292=""," ",'16 bit registers'!E292))</f>
        <v xml:space="preserve"> </v>
      </c>
      <c r="E128" s="130" t="str">
        <f>IF('16 bit registers'!F292=""," ",'16 bit registers'!F292)</f>
        <v xml:space="preserve"> </v>
      </c>
      <c r="F128" s="130" t="str">
        <f>IF('16 bit registers'!G292=""," ",'16 bit registers'!G292)</f>
        <v xml:space="preserve"> </v>
      </c>
    </row>
    <row r="129" spans="1:6" x14ac:dyDescent="0.2">
      <c r="A129" s="30">
        <f t="shared" si="1"/>
        <v>40126</v>
      </c>
      <c r="B129" s="31" t="s">
        <v>348</v>
      </c>
      <c r="C129" s="131"/>
      <c r="D129" s="131"/>
      <c r="E129" s="131"/>
      <c r="F129" s="131"/>
    </row>
    <row r="130" spans="1:6" x14ac:dyDescent="0.2">
      <c r="A130" s="30">
        <f t="shared" si="1"/>
        <v>40127</v>
      </c>
      <c r="B130" s="31" t="s">
        <v>349</v>
      </c>
      <c r="C130" s="130" t="str">
        <f>IF(TB_IO!D1&lt;2,"N/A",IF('16 bit registers'!D293=""," ",'16 bit registers'!D293))</f>
        <v>ENGINE AIR MANIFOLD Right</v>
      </c>
      <c r="D130" s="130" t="str">
        <f>IF(TB_IO!D1&lt;2,"N/A",IF('16 bit registers'!E293=""," ",'16 bit registers'!E293))</f>
        <v xml:space="preserve"> </v>
      </c>
      <c r="E130" s="130" t="str">
        <f>IF('16 bit registers'!F293=""," ",'16 bit registers'!F293)</f>
        <v xml:space="preserve"> </v>
      </c>
      <c r="F130" s="130" t="str">
        <f>IF('16 bit registers'!G293=""," ",'16 bit registers'!G293)</f>
        <v xml:space="preserve"> </v>
      </c>
    </row>
    <row r="131" spans="1:6" x14ac:dyDescent="0.2">
      <c r="A131" s="30">
        <f t="shared" si="1"/>
        <v>40128</v>
      </c>
      <c r="B131" s="31" t="s">
        <v>350</v>
      </c>
      <c r="C131" s="131"/>
      <c r="D131" s="131"/>
      <c r="E131" s="131"/>
      <c r="F131" s="131"/>
    </row>
    <row r="132" spans="1:6" x14ac:dyDescent="0.2">
      <c r="A132" s="30">
        <f t="shared" si="1"/>
        <v>40129</v>
      </c>
      <c r="B132" s="31" t="s">
        <v>351</v>
      </c>
      <c r="C132" s="127" t="str">
        <f>IF(TB_IO!D1&lt;3,"N/A",IF('16 bit registers'!D294=""," ",'16 bit registers'!D294))</f>
        <v>N/A</v>
      </c>
      <c r="D132" s="127" t="str">
        <f>IF(TB_IO!D1&lt;3,"N/A",IF('16 bit registers'!E294=""," ",'16 bit registers'!E294))</f>
        <v>N/A</v>
      </c>
      <c r="E132" s="127" t="str">
        <f>IF('16 bit registers'!F294=""," ",'16 bit registers'!F294)</f>
        <v xml:space="preserve"> </v>
      </c>
      <c r="F132" s="127" t="str">
        <f>IF('16 bit registers'!G294=""," ",'16 bit registers'!G294)</f>
        <v xml:space="preserve"> </v>
      </c>
    </row>
    <row r="133" spans="1:6" x14ac:dyDescent="0.2">
      <c r="A133" s="30">
        <f t="shared" si="1"/>
        <v>40130</v>
      </c>
      <c r="B133" s="31" t="s">
        <v>352</v>
      </c>
      <c r="C133" s="128"/>
      <c r="D133" s="128"/>
      <c r="E133" s="128"/>
      <c r="F133" s="128"/>
    </row>
    <row r="134" spans="1:6" x14ac:dyDescent="0.2">
      <c r="A134" s="30">
        <f t="shared" ref="A134:A197" si="2">A133 + 1</f>
        <v>40131</v>
      </c>
      <c r="B134" s="31" t="s">
        <v>353</v>
      </c>
      <c r="C134" s="127" t="str">
        <f>IF(TB_IO!D1&lt;3,"N/A",IF('16 bit registers'!D295=""," ",'16 bit registers'!D295))</f>
        <v>N/A</v>
      </c>
      <c r="D134" s="127" t="str">
        <f>IF(TB_IO!D1&lt;3,"N/A",IF('16 bit registers'!E295=""," ",'16 bit registers'!E295))</f>
        <v>N/A</v>
      </c>
      <c r="E134" s="127" t="str">
        <f>IF('16 bit registers'!F295=""," ",'16 bit registers'!F295)</f>
        <v xml:space="preserve"> </v>
      </c>
      <c r="F134" s="127" t="str">
        <f>IF('16 bit registers'!G295=""," ",'16 bit registers'!G295)</f>
        <v xml:space="preserve"> </v>
      </c>
    </row>
    <row r="135" spans="1:6" x14ac:dyDescent="0.2">
      <c r="A135" s="30">
        <f t="shared" si="2"/>
        <v>40132</v>
      </c>
      <c r="B135" s="31" t="s">
        <v>354</v>
      </c>
      <c r="C135" s="128"/>
      <c r="D135" s="128"/>
      <c r="E135" s="128"/>
      <c r="F135" s="128"/>
    </row>
    <row r="136" spans="1:6" x14ac:dyDescent="0.2">
      <c r="A136" s="30">
        <f t="shared" si="2"/>
        <v>40133</v>
      </c>
      <c r="B136" s="31" t="s">
        <v>355</v>
      </c>
      <c r="C136" s="127" t="str">
        <f>IF(TB_IO!D1&lt;3,"N/A",IF('16 bit registers'!D296=""," ",'16 bit registers'!D296))</f>
        <v>N/A</v>
      </c>
      <c r="D136" s="127" t="str">
        <f>IF(TB_IO!D1&lt;3,"N/A",IF('16 bit registers'!E296=""," ",'16 bit registers'!E296))</f>
        <v>N/A</v>
      </c>
      <c r="E136" s="127" t="str">
        <f>IF('16 bit registers'!F296=""," ",'16 bit registers'!F296)</f>
        <v xml:space="preserve"> </v>
      </c>
      <c r="F136" s="127" t="str">
        <f>IF('16 bit registers'!G296=""," ",'16 bit registers'!G296)</f>
        <v xml:space="preserve"> </v>
      </c>
    </row>
    <row r="137" spans="1:6" x14ac:dyDescent="0.2">
      <c r="A137" s="30">
        <f t="shared" si="2"/>
        <v>40134</v>
      </c>
      <c r="B137" s="31" t="s">
        <v>356</v>
      </c>
      <c r="C137" s="128"/>
      <c r="D137" s="128"/>
      <c r="E137" s="128"/>
      <c r="F137" s="128"/>
    </row>
    <row r="138" spans="1:6" x14ac:dyDescent="0.2">
      <c r="A138" s="30">
        <f t="shared" si="2"/>
        <v>40135</v>
      </c>
      <c r="B138" s="31" t="s">
        <v>357</v>
      </c>
      <c r="C138" s="127" t="str">
        <f>IF(TB_IO!D1&lt;3,"N/A",IF('16 bit registers'!D297=""," ",'16 bit registers'!D297))</f>
        <v>N/A</v>
      </c>
      <c r="D138" s="127" t="str">
        <f>IF(TB_IO!D1&lt;3,"N/A",IF('16 bit registers'!E297=""," ",'16 bit registers'!E297))</f>
        <v>N/A</v>
      </c>
      <c r="E138" s="127" t="str">
        <f>IF('16 bit registers'!F297=""," ",'16 bit registers'!F297)</f>
        <v xml:space="preserve"> </v>
      </c>
      <c r="F138" s="127" t="str">
        <f>IF('16 bit registers'!G297=""," ",'16 bit registers'!G297)</f>
        <v xml:space="preserve"> </v>
      </c>
    </row>
    <row r="139" spans="1:6" x14ac:dyDescent="0.2">
      <c r="A139" s="30">
        <f t="shared" si="2"/>
        <v>40136</v>
      </c>
      <c r="B139" s="31" t="s">
        <v>358</v>
      </c>
      <c r="C139" s="128"/>
      <c r="D139" s="128"/>
      <c r="E139" s="128"/>
      <c r="F139" s="128"/>
    </row>
    <row r="140" spans="1:6" x14ac:dyDescent="0.2">
      <c r="A140" s="30">
        <f t="shared" si="2"/>
        <v>40137</v>
      </c>
      <c r="B140" s="31" t="s">
        <v>359</v>
      </c>
      <c r="C140" s="127" t="str">
        <f>IF(TB_IO!D1&lt;3,"N/A",IF('16 bit registers'!D298=""," ",'16 bit registers'!D298))</f>
        <v>N/A</v>
      </c>
      <c r="D140" s="127" t="str">
        <f>IF(TB_IO!D1&lt;3,"N/A",IF('16 bit registers'!E298=""," ",'16 bit registers'!E298))</f>
        <v>N/A</v>
      </c>
      <c r="E140" s="127" t="str">
        <f>IF('16 bit registers'!F298=""," ",'16 bit registers'!F298)</f>
        <v xml:space="preserve"> </v>
      </c>
      <c r="F140" s="127" t="str">
        <f>IF('16 bit registers'!G298=""," ",'16 bit registers'!G298)</f>
        <v xml:space="preserve"> </v>
      </c>
    </row>
    <row r="141" spans="1:6" x14ac:dyDescent="0.2">
      <c r="A141" s="30">
        <f t="shared" si="2"/>
        <v>40138</v>
      </c>
      <c r="B141" s="31" t="s">
        <v>360</v>
      </c>
      <c r="C141" s="128"/>
      <c r="D141" s="128"/>
      <c r="E141" s="128"/>
      <c r="F141" s="128"/>
    </row>
    <row r="142" spans="1:6" x14ac:dyDescent="0.2">
      <c r="A142" s="30">
        <f t="shared" si="2"/>
        <v>40139</v>
      </c>
      <c r="B142" s="31" t="s">
        <v>361</v>
      </c>
      <c r="C142" s="127" t="str">
        <f>IF(TB_IO!D1&lt;3,"N/A",IF('16 bit registers'!D299=""," ",'16 bit registers'!D299))</f>
        <v>N/A</v>
      </c>
      <c r="D142" s="127" t="str">
        <f>IF(TB_IO!D1&lt;3,"N/A",IF('16 bit registers'!E299=""," ",'16 bit registers'!E299))</f>
        <v>N/A</v>
      </c>
      <c r="E142" s="127" t="str">
        <f>IF('16 bit registers'!F299=""," ",'16 bit registers'!F299)</f>
        <v xml:space="preserve"> </v>
      </c>
      <c r="F142" s="127" t="str">
        <f>IF('16 bit registers'!G299=""," ",'16 bit registers'!G299)</f>
        <v xml:space="preserve"> </v>
      </c>
    </row>
    <row r="143" spans="1:6" x14ac:dyDescent="0.2">
      <c r="A143" s="30">
        <f t="shared" si="2"/>
        <v>40140</v>
      </c>
      <c r="B143" s="31" t="s">
        <v>362</v>
      </c>
      <c r="C143" s="128"/>
      <c r="D143" s="128"/>
      <c r="E143" s="128"/>
      <c r="F143" s="128"/>
    </row>
    <row r="144" spans="1:6" x14ac:dyDescent="0.2">
      <c r="A144" s="30">
        <f t="shared" si="2"/>
        <v>40141</v>
      </c>
      <c r="B144" s="31" t="s">
        <v>363</v>
      </c>
      <c r="C144" s="127" t="str">
        <f>IF(TB_IO!D1&lt;3,"N/A",IF('16 bit registers'!D300=""," ",'16 bit registers'!D300))</f>
        <v>N/A</v>
      </c>
      <c r="D144" s="127" t="str">
        <f>IF(TB_IO!D1&lt;3,"N/A",IF('16 bit registers'!E300=""," ",'16 bit registers'!E300))</f>
        <v>N/A</v>
      </c>
      <c r="E144" s="127" t="str">
        <f>IF('16 bit registers'!F300=""," ",'16 bit registers'!F300)</f>
        <v xml:space="preserve"> </v>
      </c>
      <c r="F144" s="127" t="str">
        <f>IF('16 bit registers'!G300=""," ",'16 bit registers'!G300)</f>
        <v xml:space="preserve"> </v>
      </c>
    </row>
    <row r="145" spans="1:6" x14ac:dyDescent="0.2">
      <c r="A145" s="30">
        <f t="shared" si="2"/>
        <v>40142</v>
      </c>
      <c r="B145" s="31" t="s">
        <v>364</v>
      </c>
      <c r="C145" s="128"/>
      <c r="D145" s="128"/>
      <c r="E145" s="128"/>
      <c r="F145" s="128"/>
    </row>
    <row r="146" spans="1:6" x14ac:dyDescent="0.2">
      <c r="A146" s="30">
        <f t="shared" si="2"/>
        <v>40143</v>
      </c>
      <c r="B146" s="31" t="s">
        <v>365</v>
      </c>
      <c r="C146" s="127" t="str">
        <f>IF(TB_IO!D1&lt;3,"N/A",IF('16 bit registers'!D301=""," ",'16 bit registers'!D301))</f>
        <v>N/A</v>
      </c>
      <c r="D146" s="127" t="str">
        <f>IF(TB_IO!D1&lt;3,"N/A",IF('16 bit registers'!E301=""," ",'16 bit registers'!E301))</f>
        <v>N/A</v>
      </c>
      <c r="E146" s="127" t="str">
        <f>IF('16 bit registers'!F301=""," ",'16 bit registers'!F301)</f>
        <v xml:space="preserve"> </v>
      </c>
      <c r="F146" s="127" t="str">
        <f>IF('16 bit registers'!G301=""," ",'16 bit registers'!G301)</f>
        <v xml:space="preserve"> </v>
      </c>
    </row>
    <row r="147" spans="1:6" x14ac:dyDescent="0.2">
      <c r="A147" s="30">
        <f t="shared" si="2"/>
        <v>40144</v>
      </c>
      <c r="B147" s="31" t="s">
        <v>366</v>
      </c>
      <c r="C147" s="128"/>
      <c r="D147" s="128"/>
      <c r="E147" s="128"/>
      <c r="F147" s="128"/>
    </row>
    <row r="148" spans="1:6" x14ac:dyDescent="0.2">
      <c r="A148" s="30">
        <f t="shared" si="2"/>
        <v>40145</v>
      </c>
      <c r="B148" s="31" t="s">
        <v>367</v>
      </c>
      <c r="C148" s="127" t="str">
        <f>IF(TB_IO!D1&lt;3,"N/A",IF('16 bit registers'!D302=""," ",'16 bit registers'!D302))</f>
        <v>N/A</v>
      </c>
      <c r="D148" s="127" t="str">
        <f>IF(TB_IO!D1&lt;3,"N/A",IF('16 bit registers'!E302=""," ",'16 bit registers'!E302))</f>
        <v>N/A</v>
      </c>
      <c r="E148" s="127" t="str">
        <f>IF('16 bit registers'!F302=""," ",'16 bit registers'!F302)</f>
        <v xml:space="preserve"> </v>
      </c>
      <c r="F148" s="127" t="str">
        <f>IF('16 bit registers'!G302=""," ",'16 bit registers'!G302)</f>
        <v xml:space="preserve"> </v>
      </c>
    </row>
    <row r="149" spans="1:6" x14ac:dyDescent="0.2">
      <c r="A149" s="30">
        <f t="shared" si="2"/>
        <v>40146</v>
      </c>
      <c r="B149" s="31" t="s">
        <v>368</v>
      </c>
      <c r="C149" s="128"/>
      <c r="D149" s="128"/>
      <c r="E149" s="128"/>
      <c r="F149" s="128"/>
    </row>
    <row r="150" spans="1:6" x14ac:dyDescent="0.2">
      <c r="A150" s="30">
        <f t="shared" si="2"/>
        <v>40147</v>
      </c>
      <c r="B150" s="31" t="s">
        <v>369</v>
      </c>
      <c r="C150" s="127" t="str">
        <f>IF(TB_IO!D1&lt;3,"N/A",IF('16 bit registers'!D303=""," ",'16 bit registers'!D303))</f>
        <v>N/A</v>
      </c>
      <c r="D150" s="127" t="str">
        <f>IF(TB_IO!D1&lt;3,"N/A",IF('16 bit registers'!E303=""," ",'16 bit registers'!E303))</f>
        <v>N/A</v>
      </c>
      <c r="E150" s="127" t="str">
        <f>IF('16 bit registers'!F303=""," ",'16 bit registers'!F303)</f>
        <v xml:space="preserve"> </v>
      </c>
      <c r="F150" s="127" t="str">
        <f>IF('16 bit registers'!G303=""," ",'16 bit registers'!G303)</f>
        <v xml:space="preserve"> </v>
      </c>
    </row>
    <row r="151" spans="1:6" x14ac:dyDescent="0.2">
      <c r="A151" s="30">
        <f t="shared" si="2"/>
        <v>40148</v>
      </c>
      <c r="B151" s="31" t="s">
        <v>370</v>
      </c>
      <c r="C151" s="128"/>
      <c r="D151" s="128"/>
      <c r="E151" s="128"/>
      <c r="F151" s="128"/>
    </row>
    <row r="152" spans="1:6" x14ac:dyDescent="0.2">
      <c r="A152" s="30">
        <f t="shared" si="2"/>
        <v>40149</v>
      </c>
      <c r="B152" s="31" t="s">
        <v>371</v>
      </c>
      <c r="C152" s="127" t="str">
        <f>IF(TB_IO!D1&lt;3,"N/A",IF('16 bit registers'!D304=""," ",'16 bit registers'!D304))</f>
        <v>N/A</v>
      </c>
      <c r="D152" s="127" t="str">
        <f>IF(TB_IO!D1&lt;3,"N/A",IF('16 bit registers'!E304=""," ",'16 bit registers'!E304))</f>
        <v>N/A</v>
      </c>
      <c r="E152" s="127" t="str">
        <f>IF('16 bit registers'!F304=""," ",'16 bit registers'!F304)</f>
        <v xml:space="preserve"> </v>
      </c>
      <c r="F152" s="127" t="str">
        <f>IF('16 bit registers'!G304=""," ",'16 bit registers'!G304)</f>
        <v xml:space="preserve"> </v>
      </c>
    </row>
    <row r="153" spans="1:6" x14ac:dyDescent="0.2">
      <c r="A153" s="30">
        <f t="shared" si="2"/>
        <v>40150</v>
      </c>
      <c r="B153" s="31" t="s">
        <v>372</v>
      </c>
      <c r="C153" s="128"/>
      <c r="D153" s="128"/>
      <c r="E153" s="128"/>
      <c r="F153" s="128"/>
    </row>
    <row r="154" spans="1:6" x14ac:dyDescent="0.2">
      <c r="A154" s="30">
        <f t="shared" si="2"/>
        <v>40151</v>
      </c>
      <c r="B154" s="31" t="s">
        <v>373</v>
      </c>
      <c r="C154" s="127" t="str">
        <f>IF(TB_IO!D1&lt;3,"N/A",IF('16 bit registers'!D305=""," ",'16 bit registers'!D305))</f>
        <v>N/A</v>
      </c>
      <c r="D154" s="127" t="str">
        <f>IF(TB_IO!D1&lt;3,"N/A",IF('16 bit registers'!E305=""," ",'16 bit registers'!E305))</f>
        <v>N/A</v>
      </c>
      <c r="E154" s="127" t="str">
        <f>IF('16 bit registers'!F305=""," ",'16 bit registers'!F305)</f>
        <v xml:space="preserve"> </v>
      </c>
      <c r="F154" s="127" t="str">
        <f>IF('16 bit registers'!G305=""," ",'16 bit registers'!G305)</f>
        <v xml:space="preserve"> </v>
      </c>
    </row>
    <row r="155" spans="1:6" x14ac:dyDescent="0.2">
      <c r="A155" s="30">
        <f t="shared" si="2"/>
        <v>40152</v>
      </c>
      <c r="B155" s="31" t="s">
        <v>374</v>
      </c>
      <c r="C155" s="128"/>
      <c r="D155" s="128"/>
      <c r="E155" s="128"/>
      <c r="F155" s="128"/>
    </row>
    <row r="156" spans="1:6" x14ac:dyDescent="0.2">
      <c r="A156" s="30">
        <f t="shared" si="2"/>
        <v>40153</v>
      </c>
      <c r="B156" s="31" t="s">
        <v>375</v>
      </c>
      <c r="C156" s="127" t="str">
        <f>IF(TB_IO!D1&lt;3,"N/A",IF('16 bit registers'!D306=""," ",'16 bit registers'!D306))</f>
        <v>N/A</v>
      </c>
      <c r="D156" s="127" t="str">
        <f>IF(TB_IO!D1&lt;3,"N/A",IF('16 bit registers'!E306=""," ",'16 bit registers'!E306))</f>
        <v>N/A</v>
      </c>
      <c r="E156" s="127" t="str">
        <f>IF('16 bit registers'!F306=""," ",'16 bit registers'!F306)</f>
        <v xml:space="preserve"> </v>
      </c>
      <c r="F156" s="127" t="str">
        <f>IF('16 bit registers'!G306=""," ",'16 bit registers'!G306)</f>
        <v xml:space="preserve"> </v>
      </c>
    </row>
    <row r="157" spans="1:6" x14ac:dyDescent="0.2">
      <c r="A157" s="30">
        <f t="shared" si="2"/>
        <v>40154</v>
      </c>
      <c r="B157" s="31" t="s">
        <v>376</v>
      </c>
      <c r="C157" s="128"/>
      <c r="D157" s="128"/>
      <c r="E157" s="128"/>
      <c r="F157" s="128"/>
    </row>
    <row r="158" spans="1:6" x14ac:dyDescent="0.2">
      <c r="A158" s="30">
        <f t="shared" si="2"/>
        <v>40155</v>
      </c>
      <c r="B158" s="31" t="s">
        <v>377</v>
      </c>
      <c r="C158" s="127" t="str">
        <f>IF(TB_IO!D1&lt;3,"N/A",IF('16 bit registers'!D307=""," ",'16 bit registers'!D307))</f>
        <v>N/A</v>
      </c>
      <c r="D158" s="127" t="str">
        <f>IF(TB_IO!D1&lt;3,"N/A",IF('16 bit registers'!E307=""," ",'16 bit registers'!E307))</f>
        <v>N/A</v>
      </c>
      <c r="E158" s="127" t="str">
        <f>IF('16 bit registers'!F307=""," ",'16 bit registers'!F307)</f>
        <v xml:space="preserve"> </v>
      </c>
      <c r="F158" s="127" t="str">
        <f>IF('16 bit registers'!G307=""," ",'16 bit registers'!G307)</f>
        <v xml:space="preserve"> </v>
      </c>
    </row>
    <row r="159" spans="1:6" x14ac:dyDescent="0.2">
      <c r="A159" s="30">
        <f t="shared" si="2"/>
        <v>40156</v>
      </c>
      <c r="B159" s="31" t="s">
        <v>378</v>
      </c>
      <c r="C159" s="128"/>
      <c r="D159" s="128"/>
      <c r="E159" s="128"/>
      <c r="F159" s="128"/>
    </row>
    <row r="160" spans="1:6" x14ac:dyDescent="0.2">
      <c r="A160" s="30">
        <f t="shared" si="2"/>
        <v>40157</v>
      </c>
      <c r="B160" s="31" t="s">
        <v>379</v>
      </c>
      <c r="C160" s="127" t="str">
        <f>IF(TB_IO!D1&lt;3,"N/A",IF('16 bit registers'!D308=""," ",'16 bit registers'!D308))</f>
        <v>N/A</v>
      </c>
      <c r="D160" s="127" t="str">
        <f>IF(TB_IO!D1&lt;3,"N/A",IF('16 bit registers'!E308=""," ",'16 bit registers'!E308))</f>
        <v>N/A</v>
      </c>
      <c r="E160" s="127" t="str">
        <f>IF('16 bit registers'!F308=""," ",'16 bit registers'!F308)</f>
        <v xml:space="preserve"> </v>
      </c>
      <c r="F160" s="127" t="str">
        <f>IF('16 bit registers'!G308=""," ",'16 bit registers'!G308)</f>
        <v xml:space="preserve"> </v>
      </c>
    </row>
    <row r="161" spans="1:6" x14ac:dyDescent="0.2">
      <c r="A161" s="30">
        <f t="shared" si="2"/>
        <v>40158</v>
      </c>
      <c r="B161" s="31" t="s">
        <v>380</v>
      </c>
      <c r="C161" s="128"/>
      <c r="D161" s="128"/>
      <c r="E161" s="128"/>
      <c r="F161" s="128"/>
    </row>
    <row r="162" spans="1:6" x14ac:dyDescent="0.2">
      <c r="A162" s="30">
        <f t="shared" si="2"/>
        <v>40159</v>
      </c>
      <c r="B162" s="31" t="s">
        <v>381</v>
      </c>
      <c r="C162" s="127" t="str">
        <f>IF(TB_IO!D1&lt;3,"N/A",IF('16 bit registers'!D309=""," ",'16 bit registers'!D309))</f>
        <v>N/A</v>
      </c>
      <c r="D162" s="127" t="str">
        <f>IF(TB_IO!D1&lt;3,"N/A",IF('16 bit registers'!E309=""," ",'16 bit registers'!E309))</f>
        <v>N/A</v>
      </c>
      <c r="E162" s="127" t="str">
        <f>IF('16 bit registers'!F309=""," ",'16 bit registers'!F309)</f>
        <v xml:space="preserve"> </v>
      </c>
      <c r="F162" s="127" t="str">
        <f>IF('16 bit registers'!G309=""," ",'16 bit registers'!G309)</f>
        <v xml:space="preserve"> </v>
      </c>
    </row>
    <row r="163" spans="1:6" x14ac:dyDescent="0.2">
      <c r="A163" s="30">
        <f t="shared" si="2"/>
        <v>40160</v>
      </c>
      <c r="B163" s="31" t="s">
        <v>382</v>
      </c>
      <c r="C163" s="128"/>
      <c r="D163" s="128"/>
      <c r="E163" s="128"/>
      <c r="F163" s="128"/>
    </row>
    <row r="164" spans="1:6" x14ac:dyDescent="0.2">
      <c r="A164" s="30">
        <f t="shared" si="2"/>
        <v>40161</v>
      </c>
      <c r="B164" s="31" t="s">
        <v>383</v>
      </c>
      <c r="C164" s="127" t="str">
        <f>IF(TB_IO!D1&lt;3,"N/A",IF('16 bit registers'!D310=""," ",'16 bit registers'!D310))</f>
        <v>N/A</v>
      </c>
      <c r="D164" s="127" t="str">
        <f>IF(TB_IO!D1&lt;3,"N/A",IF('16 bit registers'!E310=""," ",'16 bit registers'!E310))</f>
        <v>N/A</v>
      </c>
      <c r="E164" s="127" t="str">
        <f>IF('16 bit registers'!F310=""," ",'16 bit registers'!F310)</f>
        <v xml:space="preserve"> </v>
      </c>
      <c r="F164" s="127" t="str">
        <f>IF('16 bit registers'!G310=""," ",'16 bit registers'!G310)</f>
        <v xml:space="preserve"> </v>
      </c>
    </row>
    <row r="165" spans="1:6" x14ac:dyDescent="0.2">
      <c r="A165" s="30">
        <f t="shared" si="2"/>
        <v>40162</v>
      </c>
      <c r="B165" s="31" t="s">
        <v>384</v>
      </c>
      <c r="C165" s="128"/>
      <c r="D165" s="128"/>
      <c r="E165" s="128"/>
      <c r="F165" s="128"/>
    </row>
    <row r="166" spans="1:6" x14ac:dyDescent="0.2">
      <c r="A166" s="30">
        <f t="shared" si="2"/>
        <v>40163</v>
      </c>
      <c r="B166" s="31" t="s">
        <v>385</v>
      </c>
      <c r="C166" s="127" t="str">
        <f>IF(TB_IO!D1&lt;3,"N/A",IF('16 bit registers'!D311=""," ",'16 bit registers'!D311))</f>
        <v>N/A</v>
      </c>
      <c r="D166" s="127" t="str">
        <f>IF(TB_IO!D1&lt;3,"N/A",IF('16 bit registers'!E311=""," ",'16 bit registers'!E311))</f>
        <v>N/A</v>
      </c>
      <c r="E166" s="127" t="str">
        <f>IF('16 bit registers'!F311=""," ",'16 bit registers'!F311)</f>
        <v xml:space="preserve"> </v>
      </c>
      <c r="F166" s="127" t="str">
        <f>IF('16 bit registers'!G311=""," ",'16 bit registers'!G311)</f>
        <v xml:space="preserve"> </v>
      </c>
    </row>
    <row r="167" spans="1:6" x14ac:dyDescent="0.2">
      <c r="A167" s="30">
        <f t="shared" si="2"/>
        <v>40164</v>
      </c>
      <c r="B167" s="31" t="s">
        <v>386</v>
      </c>
      <c r="C167" s="128"/>
      <c r="D167" s="128"/>
      <c r="E167" s="128"/>
      <c r="F167" s="128"/>
    </row>
    <row r="168" spans="1:6" x14ac:dyDescent="0.2">
      <c r="A168" s="30">
        <f t="shared" si="2"/>
        <v>40165</v>
      </c>
      <c r="B168" s="31" t="s">
        <v>387</v>
      </c>
      <c r="C168" s="127" t="str">
        <f>IF(TB_IO!D1&lt;3,"N/A",IF('16 bit registers'!D312=""," ",'16 bit registers'!D312))</f>
        <v>N/A</v>
      </c>
      <c r="D168" s="127" t="str">
        <f>IF(TB_IO!D1&lt;3,"N/A",IF('16 bit registers'!E312=""," ",'16 bit registers'!E312))</f>
        <v>N/A</v>
      </c>
      <c r="E168" s="127" t="str">
        <f>IF('16 bit registers'!F312=""," ",'16 bit registers'!F312)</f>
        <v xml:space="preserve"> </v>
      </c>
      <c r="F168" s="127" t="str">
        <f>IF('16 bit registers'!G312=""," ",'16 bit registers'!G312)</f>
        <v xml:space="preserve"> </v>
      </c>
    </row>
    <row r="169" spans="1:6" x14ac:dyDescent="0.2">
      <c r="A169" s="30">
        <f t="shared" si="2"/>
        <v>40166</v>
      </c>
      <c r="B169" s="31" t="s">
        <v>388</v>
      </c>
      <c r="C169" s="128"/>
      <c r="D169" s="128"/>
      <c r="E169" s="128"/>
      <c r="F169" s="128"/>
    </row>
    <row r="170" spans="1:6" x14ac:dyDescent="0.2">
      <c r="A170" s="30">
        <f t="shared" si="2"/>
        <v>40167</v>
      </c>
      <c r="B170" s="31" t="s">
        <v>389</v>
      </c>
      <c r="C170" s="127" t="str">
        <f>IF(TB_IO!D1&lt;3,"N/A",IF('16 bit registers'!D313=""," ",'16 bit registers'!D313))</f>
        <v>N/A</v>
      </c>
      <c r="D170" s="127" t="str">
        <f>IF(TB_IO!D1&lt;3,"N/A",IF('16 bit registers'!E313=""," ",'16 bit registers'!E313))</f>
        <v>N/A</v>
      </c>
      <c r="E170" s="127" t="str">
        <f>IF('16 bit registers'!F313=""," ",'16 bit registers'!F313)</f>
        <v xml:space="preserve"> </v>
      </c>
      <c r="F170" s="127" t="str">
        <f>IF('16 bit registers'!G313=""," ",'16 bit registers'!G313)</f>
        <v xml:space="preserve"> </v>
      </c>
    </row>
    <row r="171" spans="1:6" x14ac:dyDescent="0.2">
      <c r="A171" s="30">
        <f t="shared" si="2"/>
        <v>40168</v>
      </c>
      <c r="B171" s="31" t="s">
        <v>390</v>
      </c>
      <c r="C171" s="128"/>
      <c r="D171" s="128"/>
      <c r="E171" s="128"/>
      <c r="F171" s="128"/>
    </row>
    <row r="172" spans="1:6" x14ac:dyDescent="0.2">
      <c r="A172" s="30">
        <f t="shared" si="2"/>
        <v>40169</v>
      </c>
      <c r="B172" s="31" t="s">
        <v>391</v>
      </c>
      <c r="C172" s="127" t="str">
        <f>IF(TB_IO!D1&lt;3,"N/A",IF('16 bit registers'!D314=""," ",'16 bit registers'!D314))</f>
        <v>N/A</v>
      </c>
      <c r="D172" s="127" t="str">
        <f>IF(TB_IO!D1&lt;3,"N/A",IF('16 bit registers'!E314=""," ",'16 bit registers'!E314))</f>
        <v>N/A</v>
      </c>
      <c r="E172" s="127" t="str">
        <f>IF('16 bit registers'!F314=""," ",'16 bit registers'!F314)</f>
        <v xml:space="preserve"> </v>
      </c>
      <c r="F172" s="127" t="str">
        <f>IF('16 bit registers'!G314=""," ",'16 bit registers'!G314)</f>
        <v xml:space="preserve"> </v>
      </c>
    </row>
    <row r="173" spans="1:6" x14ac:dyDescent="0.2">
      <c r="A173" s="30">
        <f t="shared" si="2"/>
        <v>40170</v>
      </c>
      <c r="B173" s="31" t="s">
        <v>392</v>
      </c>
      <c r="C173" s="128"/>
      <c r="D173" s="128"/>
      <c r="E173" s="128"/>
      <c r="F173" s="128"/>
    </row>
    <row r="174" spans="1:6" x14ac:dyDescent="0.2">
      <c r="A174" s="30">
        <f t="shared" si="2"/>
        <v>40171</v>
      </c>
      <c r="B174" s="31" t="s">
        <v>393</v>
      </c>
      <c r="C174" s="127" t="str">
        <f>IF(TB_IO!D1&lt;3,"N/A",IF('16 bit registers'!D315=""," ",'16 bit registers'!D315))</f>
        <v>N/A</v>
      </c>
      <c r="D174" s="127" t="str">
        <f>IF(TB_IO!D1&lt;3,"N/A",IF('16 bit registers'!E315=""," ",'16 bit registers'!E315))</f>
        <v>N/A</v>
      </c>
      <c r="E174" s="127" t="str">
        <f>IF('16 bit registers'!F315=""," ",'16 bit registers'!F315)</f>
        <v xml:space="preserve"> </v>
      </c>
      <c r="F174" s="127" t="str">
        <f>IF('16 bit registers'!G315=""," ",'16 bit registers'!G315)</f>
        <v xml:space="preserve"> </v>
      </c>
    </row>
    <row r="175" spans="1:6" x14ac:dyDescent="0.2">
      <c r="A175" s="30">
        <f t="shared" si="2"/>
        <v>40172</v>
      </c>
      <c r="B175" s="31" t="s">
        <v>394</v>
      </c>
      <c r="C175" s="128"/>
      <c r="D175" s="128"/>
      <c r="E175" s="128"/>
      <c r="F175" s="128"/>
    </row>
    <row r="176" spans="1:6" x14ac:dyDescent="0.2">
      <c r="A176" s="30">
        <f t="shared" si="2"/>
        <v>40173</v>
      </c>
      <c r="B176" s="31" t="s">
        <v>395</v>
      </c>
      <c r="C176" s="127" t="str">
        <f>IF(TB_IO!D1&lt;3,"N/A",IF('16 bit registers'!D316=""," ",'16 bit registers'!D316))</f>
        <v>N/A</v>
      </c>
      <c r="D176" s="127" t="str">
        <f>IF(TB_IO!D1&lt;3,"N/A",IF('16 bit registers'!E316=""," ",'16 bit registers'!E316))</f>
        <v>N/A</v>
      </c>
      <c r="E176" s="127" t="str">
        <f>IF('16 bit registers'!F316=""," ",'16 bit registers'!F316)</f>
        <v xml:space="preserve"> </v>
      </c>
      <c r="F176" s="127" t="str">
        <f>IF('16 bit registers'!G316=""," ",'16 bit registers'!G316)</f>
        <v xml:space="preserve"> </v>
      </c>
    </row>
    <row r="177" spans="1:6" x14ac:dyDescent="0.2">
      <c r="A177" s="30">
        <f t="shared" si="2"/>
        <v>40174</v>
      </c>
      <c r="B177" s="31" t="s">
        <v>396</v>
      </c>
      <c r="C177" s="128"/>
      <c r="D177" s="128"/>
      <c r="E177" s="128"/>
      <c r="F177" s="128"/>
    </row>
    <row r="178" spans="1:6" x14ac:dyDescent="0.2">
      <c r="A178" s="30">
        <f t="shared" si="2"/>
        <v>40175</v>
      </c>
      <c r="B178" s="31" t="s">
        <v>397</v>
      </c>
      <c r="C178" s="127" t="str">
        <f>IF(TB_IO!D1&lt;3,"N/A",IF('16 bit registers'!D317=""," ",'16 bit registers'!D317))</f>
        <v>N/A</v>
      </c>
      <c r="D178" s="127" t="str">
        <f>IF(TB_IO!D1&lt;3,"N/A",IF('16 bit registers'!E317=""," ",'16 bit registers'!E317))</f>
        <v>N/A</v>
      </c>
      <c r="E178" s="127" t="str">
        <f>IF('16 bit registers'!F317=""," ",'16 bit registers'!F317)</f>
        <v xml:space="preserve"> </v>
      </c>
      <c r="F178" s="127" t="str">
        <f>IF('16 bit registers'!G317=""," ",'16 bit registers'!G317)</f>
        <v xml:space="preserve"> </v>
      </c>
    </row>
    <row r="179" spans="1:6" x14ac:dyDescent="0.2">
      <c r="A179" s="30">
        <f t="shared" si="2"/>
        <v>40176</v>
      </c>
      <c r="B179" s="31" t="s">
        <v>398</v>
      </c>
      <c r="C179" s="128"/>
      <c r="D179" s="128"/>
      <c r="E179" s="128"/>
      <c r="F179" s="128"/>
    </row>
    <row r="180" spans="1:6" x14ac:dyDescent="0.2">
      <c r="A180" s="30">
        <f t="shared" si="2"/>
        <v>40177</v>
      </c>
      <c r="B180" s="31" t="s">
        <v>399</v>
      </c>
      <c r="C180" s="127" t="str">
        <f>IF(TB_IO!D1&lt;3,"N/A",IF('16 bit registers'!D318=""," ",'16 bit registers'!D318))</f>
        <v>N/A</v>
      </c>
      <c r="D180" s="127" t="str">
        <f>IF(TB_IO!D1&lt;3,"N/A",IF('16 bit registers'!E318=""," ",'16 bit registers'!E318))</f>
        <v>N/A</v>
      </c>
      <c r="E180" s="127" t="str">
        <f>IF('16 bit registers'!F318=""," ",'16 bit registers'!F318)</f>
        <v xml:space="preserve"> </v>
      </c>
      <c r="F180" s="127" t="str">
        <f>IF('16 bit registers'!G318=""," ",'16 bit registers'!G318)</f>
        <v xml:space="preserve"> </v>
      </c>
    </row>
    <row r="181" spans="1:6" x14ac:dyDescent="0.2">
      <c r="A181" s="30">
        <f t="shared" si="2"/>
        <v>40178</v>
      </c>
      <c r="B181" s="31" t="s">
        <v>400</v>
      </c>
      <c r="C181" s="128"/>
      <c r="D181" s="128"/>
      <c r="E181" s="128"/>
      <c r="F181" s="128"/>
    </row>
    <row r="182" spans="1:6" x14ac:dyDescent="0.2">
      <c r="A182" s="30">
        <f t="shared" si="2"/>
        <v>40179</v>
      </c>
      <c r="B182" s="31" t="s">
        <v>401</v>
      </c>
      <c r="C182" s="127" t="str">
        <f>IF(TB_IO!D1&lt;3,"N/A",IF('16 bit registers'!D319=""," ",'16 bit registers'!D319))</f>
        <v>N/A</v>
      </c>
      <c r="D182" s="127" t="str">
        <f>IF(TB_IO!D1&lt;3,"N/A",IF('16 bit registers'!E319=""," ",'16 bit registers'!E319))</f>
        <v>N/A</v>
      </c>
      <c r="E182" s="127" t="str">
        <f>IF('16 bit registers'!F319=""," ",'16 bit registers'!F319)</f>
        <v xml:space="preserve"> </v>
      </c>
      <c r="F182" s="127" t="str">
        <f>IF('16 bit registers'!G319=""," ",'16 bit registers'!G319)</f>
        <v xml:space="preserve"> </v>
      </c>
    </row>
    <row r="183" spans="1:6" x14ac:dyDescent="0.2">
      <c r="A183" s="30">
        <f t="shared" si="2"/>
        <v>40180</v>
      </c>
      <c r="B183" s="31" t="s">
        <v>402</v>
      </c>
      <c r="C183" s="128"/>
      <c r="D183" s="128"/>
      <c r="E183" s="128"/>
      <c r="F183" s="128"/>
    </row>
    <row r="184" spans="1:6" x14ac:dyDescent="0.2">
      <c r="A184" s="30">
        <f t="shared" si="2"/>
        <v>40181</v>
      </c>
      <c r="B184" s="31" t="s">
        <v>403</v>
      </c>
      <c r="C184" s="127" t="str">
        <f>IF(TB_IO!D1&lt;3,"N/A",IF('16 bit registers'!D320=""," ",'16 bit registers'!D320))</f>
        <v>N/A</v>
      </c>
      <c r="D184" s="127" t="str">
        <f>IF(TB_IO!D1&lt;3,"N/A",IF('16 bit registers'!E320=""," ",'16 bit registers'!E320))</f>
        <v>N/A</v>
      </c>
      <c r="E184" s="127" t="str">
        <f>IF('16 bit registers'!F320=""," ",'16 bit registers'!F320)</f>
        <v xml:space="preserve"> </v>
      </c>
      <c r="F184" s="127" t="str">
        <f>IF('16 bit registers'!G320=""," ",'16 bit registers'!G320)</f>
        <v xml:space="preserve"> </v>
      </c>
    </row>
    <row r="185" spans="1:6" x14ac:dyDescent="0.2">
      <c r="A185" s="30">
        <f t="shared" si="2"/>
        <v>40182</v>
      </c>
      <c r="B185" s="31" t="s">
        <v>404</v>
      </c>
      <c r="C185" s="128"/>
      <c r="D185" s="128"/>
      <c r="E185" s="128"/>
      <c r="F185" s="128"/>
    </row>
    <row r="186" spans="1:6" x14ac:dyDescent="0.2">
      <c r="A186" s="30">
        <f t="shared" si="2"/>
        <v>40183</v>
      </c>
      <c r="B186" s="31" t="s">
        <v>405</v>
      </c>
      <c r="C186" s="127" t="str">
        <f>IF(TB_IO!D1&lt;3,"N/A",IF('16 bit registers'!D321=""," ",'16 bit registers'!D321))</f>
        <v>N/A</v>
      </c>
      <c r="D186" s="127" t="str">
        <f>IF(TB_IO!D1&lt;3,"N/A",IF('16 bit registers'!E321=""," ",'16 bit registers'!E321))</f>
        <v>N/A</v>
      </c>
      <c r="E186" s="127" t="str">
        <f>IF('16 bit registers'!F321=""," ",'16 bit registers'!F321)</f>
        <v xml:space="preserve"> </v>
      </c>
      <c r="F186" s="127" t="str">
        <f>IF('16 bit registers'!G321=""," ",'16 bit registers'!G321)</f>
        <v xml:space="preserve"> </v>
      </c>
    </row>
    <row r="187" spans="1:6" x14ac:dyDescent="0.2">
      <c r="A187" s="30">
        <f t="shared" si="2"/>
        <v>40184</v>
      </c>
      <c r="B187" s="31" t="s">
        <v>406</v>
      </c>
      <c r="C187" s="128"/>
      <c r="D187" s="128"/>
      <c r="E187" s="128"/>
      <c r="F187" s="128"/>
    </row>
    <row r="188" spans="1:6" x14ac:dyDescent="0.2">
      <c r="A188" s="30">
        <f t="shared" si="2"/>
        <v>40185</v>
      </c>
      <c r="B188" s="31" t="s">
        <v>407</v>
      </c>
      <c r="C188" s="127" t="str">
        <f>IF(TB_IO!D1&lt;3,"N/A",IF('16 bit registers'!D322=""," ",'16 bit registers'!D322))</f>
        <v>N/A</v>
      </c>
      <c r="D188" s="127" t="str">
        <f>IF(TB_IO!D1&lt;3,"N/A",IF('16 bit registers'!E322=""," ",'16 bit registers'!E322))</f>
        <v>N/A</v>
      </c>
      <c r="E188" s="127" t="str">
        <f>IF('16 bit registers'!F322=""," ",'16 bit registers'!F322)</f>
        <v xml:space="preserve"> </v>
      </c>
      <c r="F188" s="127" t="str">
        <f>IF('16 bit registers'!G322=""," ",'16 bit registers'!G322)</f>
        <v xml:space="preserve"> </v>
      </c>
    </row>
    <row r="189" spans="1:6" x14ac:dyDescent="0.2">
      <c r="A189" s="30">
        <f t="shared" si="2"/>
        <v>40186</v>
      </c>
      <c r="B189" s="31" t="s">
        <v>408</v>
      </c>
      <c r="C189" s="128"/>
      <c r="D189" s="128"/>
      <c r="E189" s="128"/>
      <c r="F189" s="128"/>
    </row>
    <row r="190" spans="1:6" x14ac:dyDescent="0.2">
      <c r="A190" s="30">
        <f t="shared" si="2"/>
        <v>40187</v>
      </c>
      <c r="B190" s="31" t="s">
        <v>409</v>
      </c>
      <c r="C190" s="127" t="str">
        <f>IF(TB_IO!D1&lt;3,"N/A",IF('16 bit registers'!D323=""," ",'16 bit registers'!D323))</f>
        <v>N/A</v>
      </c>
      <c r="D190" s="127" t="str">
        <f>IF(TB_IO!D1&lt;3,"N/A",IF('16 bit registers'!E323=""," ",'16 bit registers'!E323))</f>
        <v>N/A</v>
      </c>
      <c r="E190" s="127" t="str">
        <f>IF('16 bit registers'!F323=""," ",'16 bit registers'!F323)</f>
        <v xml:space="preserve"> </v>
      </c>
      <c r="F190" s="127" t="str">
        <f>IF('16 bit registers'!G323=""," ",'16 bit registers'!G323)</f>
        <v xml:space="preserve"> </v>
      </c>
    </row>
    <row r="191" spans="1:6" x14ac:dyDescent="0.2">
      <c r="A191" s="30">
        <f t="shared" si="2"/>
        <v>40188</v>
      </c>
      <c r="B191" s="31" t="s">
        <v>410</v>
      </c>
      <c r="C191" s="128"/>
      <c r="D191" s="128"/>
      <c r="E191" s="128"/>
      <c r="F191" s="128"/>
    </row>
    <row r="192" spans="1:6" x14ac:dyDescent="0.2">
      <c r="A192" s="30">
        <f t="shared" si="2"/>
        <v>40189</v>
      </c>
      <c r="B192" s="31" t="s">
        <v>411</v>
      </c>
      <c r="C192" s="127" t="str">
        <f>IF(TB_IO!D1&lt;3,"N/A",IF('16 bit registers'!D324=""," ",'16 bit registers'!D324))</f>
        <v>N/A</v>
      </c>
      <c r="D192" s="127" t="str">
        <f>IF(TB_IO!D1&lt;3,"N/A",IF('16 bit registers'!E324=""," ",'16 bit registers'!E324))</f>
        <v>N/A</v>
      </c>
      <c r="E192" s="127" t="str">
        <f>IF('16 bit registers'!F324=""," ",'16 bit registers'!F324)</f>
        <v xml:space="preserve"> </v>
      </c>
      <c r="F192" s="127" t="str">
        <f>IF('16 bit registers'!G324=""," ",'16 bit registers'!G324)</f>
        <v xml:space="preserve"> </v>
      </c>
    </row>
    <row r="193" spans="1:6" x14ac:dyDescent="0.2">
      <c r="A193" s="30">
        <f t="shared" si="2"/>
        <v>40190</v>
      </c>
      <c r="B193" s="31" t="s">
        <v>412</v>
      </c>
      <c r="C193" s="128"/>
      <c r="D193" s="128"/>
      <c r="E193" s="128"/>
      <c r="F193" s="128"/>
    </row>
    <row r="194" spans="1:6" x14ac:dyDescent="0.2">
      <c r="A194" s="30">
        <f t="shared" si="2"/>
        <v>40191</v>
      </c>
      <c r="B194" s="31" t="s">
        <v>413</v>
      </c>
      <c r="C194" s="127" t="str">
        <f>IF(TB_IO!D1&lt;3,"N/A",IF('16 bit registers'!D325=""," ",'16 bit registers'!D325))</f>
        <v>N/A</v>
      </c>
      <c r="D194" s="127" t="str">
        <f>IF(TB_IO!D1&lt;3,"N/A",IF('16 bit registers'!E325=""," ",'16 bit registers'!E325))</f>
        <v>N/A</v>
      </c>
      <c r="E194" s="127" t="str">
        <f>IF('16 bit registers'!F325=""," ",'16 bit registers'!F325)</f>
        <v xml:space="preserve"> </v>
      </c>
      <c r="F194" s="127" t="str">
        <f>IF('16 bit registers'!G325=""," ",'16 bit registers'!G325)</f>
        <v xml:space="preserve"> </v>
      </c>
    </row>
    <row r="195" spans="1:6" x14ac:dyDescent="0.2">
      <c r="A195" s="30">
        <f t="shared" si="2"/>
        <v>40192</v>
      </c>
      <c r="B195" s="31" t="s">
        <v>414</v>
      </c>
      <c r="C195" s="128"/>
      <c r="D195" s="128"/>
      <c r="E195" s="128"/>
      <c r="F195" s="128"/>
    </row>
    <row r="196" spans="1:6" x14ac:dyDescent="0.2">
      <c r="A196" s="30">
        <f t="shared" si="2"/>
        <v>40193</v>
      </c>
      <c r="B196" s="31" t="s">
        <v>415</v>
      </c>
      <c r="C196" s="127" t="str">
        <f>IF(TB_IO!D1&lt;4,"N/A",IF('16 bit registers'!D326=""," ",'16 bit registers'!D326))</f>
        <v>N/A</v>
      </c>
      <c r="D196" s="127" t="str">
        <f>IF(TB_IO!D1&lt;4,"N/A",IF('16 bit registers'!E326=""," ",'16 bit registers'!E326))</f>
        <v>N/A</v>
      </c>
      <c r="E196" s="127" t="str">
        <f>IF('16 bit registers'!F326=""," ",'16 bit registers'!F326)</f>
        <v xml:space="preserve"> </v>
      </c>
      <c r="F196" s="127" t="str">
        <f>IF('16 bit registers'!G326=""," ",'16 bit registers'!G326)</f>
        <v xml:space="preserve"> </v>
      </c>
    </row>
    <row r="197" spans="1:6" x14ac:dyDescent="0.2">
      <c r="A197" s="30">
        <f t="shared" si="2"/>
        <v>40194</v>
      </c>
      <c r="B197" s="31" t="s">
        <v>416</v>
      </c>
      <c r="C197" s="128"/>
      <c r="D197" s="128"/>
      <c r="E197" s="128"/>
      <c r="F197" s="128"/>
    </row>
    <row r="198" spans="1:6" x14ac:dyDescent="0.2">
      <c r="A198" s="30">
        <f t="shared" ref="A198:A261" si="3">A197 + 1</f>
        <v>40195</v>
      </c>
      <c r="B198" s="31" t="s">
        <v>417</v>
      </c>
      <c r="C198" s="127" t="str">
        <f>IF(TB_IO!D1&lt;4,"N/A",IF('16 bit registers'!D327=""," ",'16 bit registers'!D327))</f>
        <v>N/A</v>
      </c>
      <c r="D198" s="127" t="str">
        <f>IF(TB_IO!D1&lt;4,"N/A",IF('16 bit registers'!E327=""," ",'16 bit registers'!E327))</f>
        <v>N/A</v>
      </c>
      <c r="E198" s="127" t="str">
        <f>IF('16 bit registers'!F327=""," ",'16 bit registers'!F327)</f>
        <v xml:space="preserve"> </v>
      </c>
      <c r="F198" s="127" t="str">
        <f>IF('16 bit registers'!G327=""," ",'16 bit registers'!G327)</f>
        <v xml:space="preserve"> </v>
      </c>
    </row>
    <row r="199" spans="1:6" x14ac:dyDescent="0.2">
      <c r="A199" s="30">
        <f t="shared" si="3"/>
        <v>40196</v>
      </c>
      <c r="B199" s="31" t="s">
        <v>418</v>
      </c>
      <c r="C199" s="128"/>
      <c r="D199" s="128"/>
      <c r="E199" s="128"/>
      <c r="F199" s="128"/>
    </row>
    <row r="200" spans="1:6" x14ac:dyDescent="0.2">
      <c r="A200" s="30">
        <f t="shared" si="3"/>
        <v>40197</v>
      </c>
      <c r="B200" s="31" t="s">
        <v>419</v>
      </c>
      <c r="C200" s="127" t="str">
        <f>IF(TB_IO!D1&lt;4,"N/A",IF('16 bit registers'!D328=""," ",'16 bit registers'!D328))</f>
        <v>N/A</v>
      </c>
      <c r="D200" s="127" t="str">
        <f>IF(TB_IO!D1&lt;4,"N/A",IF('16 bit registers'!E328=""," ",'16 bit registers'!E328))</f>
        <v>N/A</v>
      </c>
      <c r="E200" s="127" t="str">
        <f>IF('16 bit registers'!F328=""," ",'16 bit registers'!F328)</f>
        <v xml:space="preserve"> </v>
      </c>
      <c r="F200" s="127" t="str">
        <f>IF('16 bit registers'!G328=""," ",'16 bit registers'!G328)</f>
        <v xml:space="preserve"> </v>
      </c>
    </row>
    <row r="201" spans="1:6" x14ac:dyDescent="0.2">
      <c r="A201" s="30">
        <f t="shared" si="3"/>
        <v>40198</v>
      </c>
      <c r="B201" s="31" t="s">
        <v>420</v>
      </c>
      <c r="C201" s="128"/>
      <c r="D201" s="128"/>
      <c r="E201" s="128"/>
      <c r="F201" s="128"/>
    </row>
    <row r="202" spans="1:6" x14ac:dyDescent="0.2">
      <c r="A202" s="30">
        <f t="shared" si="3"/>
        <v>40199</v>
      </c>
      <c r="B202" s="31" t="s">
        <v>421</v>
      </c>
      <c r="C202" s="127" t="str">
        <f>IF(TB_IO!D1&lt;4,"N/A",IF('16 bit registers'!D329=""," ",'16 bit registers'!D329))</f>
        <v>N/A</v>
      </c>
      <c r="D202" s="127" t="str">
        <f>IF(TB_IO!D1&lt;4,"N/A",IF('16 bit registers'!E329=""," ",'16 bit registers'!E329))</f>
        <v>N/A</v>
      </c>
      <c r="E202" s="127" t="str">
        <f>IF('16 bit registers'!F329=""," ",'16 bit registers'!F329)</f>
        <v xml:space="preserve"> </v>
      </c>
      <c r="F202" s="127" t="str">
        <f>IF('16 bit registers'!G329=""," ",'16 bit registers'!G329)</f>
        <v xml:space="preserve"> </v>
      </c>
    </row>
    <row r="203" spans="1:6" x14ac:dyDescent="0.2">
      <c r="A203" s="30">
        <f t="shared" si="3"/>
        <v>40200</v>
      </c>
      <c r="B203" s="31" t="s">
        <v>422</v>
      </c>
      <c r="C203" s="128"/>
      <c r="D203" s="128"/>
      <c r="E203" s="128"/>
      <c r="F203" s="128"/>
    </row>
    <row r="204" spans="1:6" x14ac:dyDescent="0.2">
      <c r="A204" s="30">
        <f t="shared" si="3"/>
        <v>40201</v>
      </c>
      <c r="B204" s="31" t="s">
        <v>423</v>
      </c>
      <c r="C204" s="127" t="str">
        <f>IF(TB_IO!D1&lt;4,"N/A",IF('16 bit registers'!D330=""," ",'16 bit registers'!D330))</f>
        <v>N/A</v>
      </c>
      <c r="D204" s="127" t="str">
        <f>IF(TB_IO!D1&lt;4,"N/A",IF('16 bit registers'!E330=""," ",'16 bit registers'!E330))</f>
        <v>N/A</v>
      </c>
      <c r="E204" s="127" t="str">
        <f>IF('16 bit registers'!F330=""," ",'16 bit registers'!F330)</f>
        <v xml:space="preserve"> </v>
      </c>
      <c r="F204" s="127" t="str">
        <f>IF('16 bit registers'!G330=""," ",'16 bit registers'!G330)</f>
        <v xml:space="preserve"> </v>
      </c>
    </row>
    <row r="205" spans="1:6" x14ac:dyDescent="0.2">
      <c r="A205" s="30">
        <f t="shared" si="3"/>
        <v>40202</v>
      </c>
      <c r="B205" s="31" t="s">
        <v>424</v>
      </c>
      <c r="C205" s="128"/>
      <c r="D205" s="128"/>
      <c r="E205" s="128"/>
      <c r="F205" s="128"/>
    </row>
    <row r="206" spans="1:6" x14ac:dyDescent="0.2">
      <c r="A206" s="30">
        <f t="shared" si="3"/>
        <v>40203</v>
      </c>
      <c r="B206" s="31" t="s">
        <v>425</v>
      </c>
      <c r="C206" s="127" t="str">
        <f>IF(TB_IO!D1&lt;4,"N/A",IF('16 bit registers'!D331=""," ",'16 bit registers'!D331))</f>
        <v>N/A</v>
      </c>
      <c r="D206" s="127" t="str">
        <f>IF(TB_IO!D1&lt;4,"N/A",IF('16 bit registers'!E331=""," ",'16 bit registers'!E331))</f>
        <v>N/A</v>
      </c>
      <c r="E206" s="127" t="str">
        <f>IF('16 bit registers'!F331=""," ",'16 bit registers'!F331)</f>
        <v xml:space="preserve"> </v>
      </c>
      <c r="F206" s="127" t="str">
        <f>IF('16 bit registers'!G331=""," ",'16 bit registers'!G331)</f>
        <v xml:space="preserve"> </v>
      </c>
    </row>
    <row r="207" spans="1:6" x14ac:dyDescent="0.2">
      <c r="A207" s="30">
        <f t="shared" si="3"/>
        <v>40204</v>
      </c>
      <c r="B207" s="31" t="s">
        <v>426</v>
      </c>
      <c r="C207" s="128"/>
      <c r="D207" s="128"/>
      <c r="E207" s="128"/>
      <c r="F207" s="128"/>
    </row>
    <row r="208" spans="1:6" x14ac:dyDescent="0.2">
      <c r="A208" s="30">
        <f t="shared" si="3"/>
        <v>40205</v>
      </c>
      <c r="B208" s="31" t="s">
        <v>427</v>
      </c>
      <c r="C208" s="127" t="str">
        <f>IF(TB_IO!D1&lt;4,"N/A",IF('16 bit registers'!D332=""," ",'16 bit registers'!D332))</f>
        <v>N/A</v>
      </c>
      <c r="D208" s="127" t="str">
        <f>IF(TB_IO!D1&lt;4,"N/A",IF('16 bit registers'!E332=""," ",'16 bit registers'!E332))</f>
        <v>N/A</v>
      </c>
      <c r="E208" s="127" t="str">
        <f>IF('16 bit registers'!F332=""," ",'16 bit registers'!F332)</f>
        <v xml:space="preserve"> </v>
      </c>
      <c r="F208" s="127" t="str">
        <f>IF('16 bit registers'!G332=""," ",'16 bit registers'!G332)</f>
        <v xml:space="preserve"> </v>
      </c>
    </row>
    <row r="209" spans="1:6" x14ac:dyDescent="0.2">
      <c r="A209" s="30">
        <f t="shared" si="3"/>
        <v>40206</v>
      </c>
      <c r="B209" s="31" t="s">
        <v>428</v>
      </c>
      <c r="C209" s="128"/>
      <c r="D209" s="128"/>
      <c r="E209" s="128"/>
      <c r="F209" s="128"/>
    </row>
    <row r="210" spans="1:6" x14ac:dyDescent="0.2">
      <c r="A210" s="30">
        <f t="shared" si="3"/>
        <v>40207</v>
      </c>
      <c r="B210" s="31" t="s">
        <v>429</v>
      </c>
      <c r="C210" s="127" t="str">
        <f>IF(TB_IO!D1&lt;4,"N/A",IF('16 bit registers'!D333=""," ",'16 bit registers'!D333))</f>
        <v>N/A</v>
      </c>
      <c r="D210" s="127" t="str">
        <f>IF(TB_IO!D1&lt;4,"N/A",IF('16 bit registers'!E333=""," ",'16 bit registers'!E333))</f>
        <v>N/A</v>
      </c>
      <c r="E210" s="127" t="str">
        <f>IF('16 bit registers'!F333=""," ",'16 bit registers'!F333)</f>
        <v xml:space="preserve"> </v>
      </c>
      <c r="F210" s="127" t="str">
        <f>IF('16 bit registers'!G333=""," ",'16 bit registers'!G333)</f>
        <v xml:space="preserve"> </v>
      </c>
    </row>
    <row r="211" spans="1:6" x14ac:dyDescent="0.2">
      <c r="A211" s="30">
        <f t="shared" si="3"/>
        <v>40208</v>
      </c>
      <c r="B211" s="31" t="s">
        <v>430</v>
      </c>
      <c r="C211" s="128"/>
      <c r="D211" s="128"/>
      <c r="E211" s="128"/>
      <c r="F211" s="128"/>
    </row>
    <row r="212" spans="1:6" x14ac:dyDescent="0.2">
      <c r="A212" s="30">
        <f t="shared" si="3"/>
        <v>40209</v>
      </c>
      <c r="B212" s="31" t="s">
        <v>431</v>
      </c>
      <c r="C212" s="127" t="str">
        <f>IF(TB_IO!D1&lt;4,"N/A",IF('16 bit registers'!D334=""," ",'16 bit registers'!D334))</f>
        <v>N/A</v>
      </c>
      <c r="D212" s="127" t="str">
        <f>IF(TB_IO!D1&lt;4,"N/A",IF('16 bit registers'!E334=""," ",'16 bit registers'!E334))</f>
        <v>N/A</v>
      </c>
      <c r="E212" s="127" t="str">
        <f>IF('16 bit registers'!F334=""," ",'16 bit registers'!F334)</f>
        <v xml:space="preserve"> </v>
      </c>
      <c r="F212" s="127" t="str">
        <f>IF('16 bit registers'!G334=""," ",'16 bit registers'!G334)</f>
        <v xml:space="preserve"> </v>
      </c>
    </row>
    <row r="213" spans="1:6" x14ac:dyDescent="0.2">
      <c r="A213" s="30">
        <f t="shared" si="3"/>
        <v>40210</v>
      </c>
      <c r="B213" s="31" t="s">
        <v>432</v>
      </c>
      <c r="C213" s="128"/>
      <c r="D213" s="128"/>
      <c r="E213" s="128"/>
      <c r="F213" s="128"/>
    </row>
    <row r="214" spans="1:6" x14ac:dyDescent="0.2">
      <c r="A214" s="30">
        <f t="shared" si="3"/>
        <v>40211</v>
      </c>
      <c r="B214" s="31" t="s">
        <v>433</v>
      </c>
      <c r="C214" s="127" t="str">
        <f>IF(TB_IO!D1&lt;4,"N/A",IF('16 bit registers'!D335=""," ",'16 bit registers'!D335))</f>
        <v>N/A</v>
      </c>
      <c r="D214" s="127" t="str">
        <f>IF(TB_IO!D1&lt;4,"N/A",IF('16 bit registers'!E335=""," ",'16 bit registers'!E335))</f>
        <v>N/A</v>
      </c>
      <c r="E214" s="127" t="str">
        <f>IF('16 bit registers'!F335=""," ",'16 bit registers'!F335)</f>
        <v xml:space="preserve"> </v>
      </c>
      <c r="F214" s="127" t="str">
        <f>IF('16 bit registers'!G335=""," ",'16 bit registers'!G335)</f>
        <v xml:space="preserve"> </v>
      </c>
    </row>
    <row r="215" spans="1:6" x14ac:dyDescent="0.2">
      <c r="A215" s="30">
        <f t="shared" si="3"/>
        <v>40212</v>
      </c>
      <c r="B215" s="31" t="s">
        <v>434</v>
      </c>
      <c r="C215" s="128"/>
      <c r="D215" s="128"/>
      <c r="E215" s="128"/>
      <c r="F215" s="128"/>
    </row>
    <row r="216" spans="1:6" x14ac:dyDescent="0.2">
      <c r="A216" s="30">
        <f t="shared" si="3"/>
        <v>40213</v>
      </c>
      <c r="B216" s="31" t="s">
        <v>435</v>
      </c>
      <c r="C216" s="127" t="str">
        <f>IF(TB_IO!D1&lt;4,"N/A",IF('16 bit registers'!D336=""," ",'16 bit registers'!D336))</f>
        <v>N/A</v>
      </c>
      <c r="D216" s="127" t="str">
        <f>IF(TB_IO!D1&lt;4,"N/A",IF('16 bit registers'!E336=""," ",'16 bit registers'!E336))</f>
        <v>N/A</v>
      </c>
      <c r="E216" s="127" t="str">
        <f>IF('16 bit registers'!F336=""," ",'16 bit registers'!F336)</f>
        <v xml:space="preserve"> </v>
      </c>
      <c r="F216" s="127" t="str">
        <f>IF('16 bit registers'!G336=""," ",'16 bit registers'!G336)</f>
        <v xml:space="preserve"> </v>
      </c>
    </row>
    <row r="217" spans="1:6" x14ac:dyDescent="0.2">
      <c r="A217" s="30">
        <f t="shared" si="3"/>
        <v>40214</v>
      </c>
      <c r="B217" s="31" t="s">
        <v>436</v>
      </c>
      <c r="C217" s="128"/>
      <c r="D217" s="128"/>
      <c r="E217" s="128"/>
      <c r="F217" s="128"/>
    </row>
    <row r="218" spans="1:6" x14ac:dyDescent="0.2">
      <c r="A218" s="30">
        <f t="shared" si="3"/>
        <v>40215</v>
      </c>
      <c r="B218" s="31" t="s">
        <v>437</v>
      </c>
      <c r="C218" s="127" t="str">
        <f>IF(TB_IO!D1&lt;4,"N/A",IF('16 bit registers'!D337=""," ",'16 bit registers'!D337))</f>
        <v>N/A</v>
      </c>
      <c r="D218" s="127" t="str">
        <f>IF(TB_IO!D1&lt;4,"N/A",IF('16 bit registers'!E337=""," ",'16 bit registers'!E337))</f>
        <v>N/A</v>
      </c>
      <c r="E218" s="127" t="str">
        <f>IF('16 bit registers'!F337=""," ",'16 bit registers'!F337)</f>
        <v xml:space="preserve"> </v>
      </c>
      <c r="F218" s="127" t="str">
        <f>IF('16 bit registers'!G337=""," ",'16 bit registers'!G337)</f>
        <v xml:space="preserve"> </v>
      </c>
    </row>
    <row r="219" spans="1:6" x14ac:dyDescent="0.2">
      <c r="A219" s="30">
        <f t="shared" si="3"/>
        <v>40216</v>
      </c>
      <c r="B219" s="31" t="s">
        <v>438</v>
      </c>
      <c r="C219" s="128"/>
      <c r="D219" s="128"/>
      <c r="E219" s="128"/>
      <c r="F219" s="128"/>
    </row>
    <row r="220" spans="1:6" x14ac:dyDescent="0.2">
      <c r="A220" s="30">
        <f t="shared" si="3"/>
        <v>40217</v>
      </c>
      <c r="B220" s="31" t="s">
        <v>439</v>
      </c>
      <c r="C220" s="127" t="str">
        <f>IF(TB_IO!D1&lt;4,"N/A",IF('16 bit registers'!D338=""," ",'16 bit registers'!D338))</f>
        <v>N/A</v>
      </c>
      <c r="D220" s="127" t="str">
        <f>IF(TB_IO!D1&lt;4,"N/A",IF('16 bit registers'!E338=""," ",'16 bit registers'!E338))</f>
        <v>N/A</v>
      </c>
      <c r="E220" s="127" t="str">
        <f>IF('16 bit registers'!F338=""," ",'16 bit registers'!F338)</f>
        <v xml:space="preserve"> </v>
      </c>
      <c r="F220" s="127" t="str">
        <f>IF('16 bit registers'!G338=""," ",'16 bit registers'!G338)</f>
        <v xml:space="preserve"> </v>
      </c>
    </row>
    <row r="221" spans="1:6" x14ac:dyDescent="0.2">
      <c r="A221" s="30">
        <f t="shared" si="3"/>
        <v>40218</v>
      </c>
      <c r="B221" s="31" t="s">
        <v>440</v>
      </c>
      <c r="C221" s="128"/>
      <c r="D221" s="128"/>
      <c r="E221" s="128"/>
      <c r="F221" s="128"/>
    </row>
    <row r="222" spans="1:6" x14ac:dyDescent="0.2">
      <c r="A222" s="30">
        <f t="shared" si="3"/>
        <v>40219</v>
      </c>
      <c r="B222" s="31" t="s">
        <v>441</v>
      </c>
      <c r="C222" s="127" t="str">
        <f>IF(TB_IO!D1&lt;4,"N/A",IF('16 bit registers'!D339=""," ",'16 bit registers'!D339))</f>
        <v>N/A</v>
      </c>
      <c r="D222" s="127" t="str">
        <f>IF(TB_IO!D1&lt;4,"N/A",IF('16 bit registers'!E339=""," ",'16 bit registers'!E339))</f>
        <v>N/A</v>
      </c>
      <c r="E222" s="127" t="str">
        <f>IF('16 bit registers'!F339=""," ",'16 bit registers'!F339)</f>
        <v xml:space="preserve"> </v>
      </c>
      <c r="F222" s="127" t="str">
        <f>IF('16 bit registers'!G339=""," ",'16 bit registers'!G339)</f>
        <v xml:space="preserve"> </v>
      </c>
    </row>
    <row r="223" spans="1:6" x14ac:dyDescent="0.2">
      <c r="A223" s="30">
        <f t="shared" si="3"/>
        <v>40220</v>
      </c>
      <c r="B223" s="31" t="s">
        <v>442</v>
      </c>
      <c r="C223" s="128"/>
      <c r="D223" s="128"/>
      <c r="E223" s="128"/>
      <c r="F223" s="128"/>
    </row>
    <row r="224" spans="1:6" x14ac:dyDescent="0.2">
      <c r="A224" s="30">
        <f t="shared" si="3"/>
        <v>40221</v>
      </c>
      <c r="B224" s="31" t="s">
        <v>443</v>
      </c>
      <c r="C224" s="127" t="str">
        <f>IF(TB_IO!D1&lt;4,"N/A",IF('16 bit registers'!D340=""," ",'16 bit registers'!D340))</f>
        <v>N/A</v>
      </c>
      <c r="D224" s="127" t="str">
        <f>IF(TB_IO!D1&lt;4,"N/A",IF('16 bit registers'!E340=""," ",'16 bit registers'!E340))</f>
        <v>N/A</v>
      </c>
      <c r="E224" s="127" t="str">
        <f>IF('16 bit registers'!F340=""," ",'16 bit registers'!F340)</f>
        <v xml:space="preserve"> </v>
      </c>
      <c r="F224" s="127" t="str">
        <f>IF('16 bit registers'!G340=""," ",'16 bit registers'!G340)</f>
        <v xml:space="preserve"> </v>
      </c>
    </row>
    <row r="225" spans="1:6" x14ac:dyDescent="0.2">
      <c r="A225" s="30">
        <f t="shared" si="3"/>
        <v>40222</v>
      </c>
      <c r="B225" s="31" t="s">
        <v>444</v>
      </c>
      <c r="C225" s="128"/>
      <c r="D225" s="128"/>
      <c r="E225" s="128"/>
      <c r="F225" s="128"/>
    </row>
    <row r="226" spans="1:6" x14ac:dyDescent="0.2">
      <c r="A226" s="30">
        <f t="shared" si="3"/>
        <v>40223</v>
      </c>
      <c r="B226" s="31" t="s">
        <v>445</v>
      </c>
      <c r="C226" s="127" t="str">
        <f>IF(TB_IO!D1&lt;4,"N/A",IF('16 bit registers'!D341=""," ",'16 bit registers'!D341))</f>
        <v>N/A</v>
      </c>
      <c r="D226" s="127" t="str">
        <f>IF(TB_IO!D1&lt;4,"N/A",IF('16 bit registers'!E341=""," ",'16 bit registers'!E341))</f>
        <v>N/A</v>
      </c>
      <c r="E226" s="127" t="str">
        <f>IF('16 bit registers'!F341=""," ",'16 bit registers'!F341)</f>
        <v xml:space="preserve"> </v>
      </c>
      <c r="F226" s="127" t="str">
        <f>IF('16 bit registers'!G341=""," ",'16 bit registers'!G341)</f>
        <v xml:space="preserve"> </v>
      </c>
    </row>
    <row r="227" spans="1:6" x14ac:dyDescent="0.2">
      <c r="A227" s="30">
        <f t="shared" si="3"/>
        <v>40224</v>
      </c>
      <c r="B227" s="31" t="s">
        <v>446</v>
      </c>
      <c r="C227" s="128"/>
      <c r="D227" s="128"/>
      <c r="E227" s="128"/>
      <c r="F227" s="128"/>
    </row>
    <row r="228" spans="1:6" x14ac:dyDescent="0.2">
      <c r="A228" s="30">
        <f t="shared" si="3"/>
        <v>40225</v>
      </c>
      <c r="B228" s="31" t="s">
        <v>447</v>
      </c>
      <c r="C228" s="127" t="str">
        <f>IF(TB_IO!D1&lt;4,"N/A",IF('16 bit registers'!D342=""," ",'16 bit registers'!D342))</f>
        <v>N/A</v>
      </c>
      <c r="D228" s="127" t="str">
        <f>IF(TB_IO!D1&lt;4,"N/A",IF('16 bit registers'!E342=""," ",'16 bit registers'!E342))</f>
        <v>N/A</v>
      </c>
      <c r="E228" s="127" t="str">
        <f>IF('16 bit registers'!F342=""," ",'16 bit registers'!F342)</f>
        <v xml:space="preserve"> </v>
      </c>
      <c r="F228" s="127" t="str">
        <f>IF('16 bit registers'!G342=""," ",'16 bit registers'!G342)</f>
        <v xml:space="preserve"> </v>
      </c>
    </row>
    <row r="229" spans="1:6" x14ac:dyDescent="0.2">
      <c r="A229" s="30">
        <f t="shared" si="3"/>
        <v>40226</v>
      </c>
      <c r="B229" s="31" t="s">
        <v>448</v>
      </c>
      <c r="C229" s="128"/>
      <c r="D229" s="128"/>
      <c r="E229" s="128"/>
      <c r="F229" s="128"/>
    </row>
    <row r="230" spans="1:6" x14ac:dyDescent="0.2">
      <c r="A230" s="30">
        <f t="shared" si="3"/>
        <v>40227</v>
      </c>
      <c r="B230" s="31" t="s">
        <v>449</v>
      </c>
      <c r="C230" s="127" t="str">
        <f>IF(TB_IO!D1&lt;4,"N/A",IF('16 bit registers'!D343=""," ",'16 bit registers'!D343))</f>
        <v>N/A</v>
      </c>
      <c r="D230" s="127" t="str">
        <f>IF(TB_IO!D1&lt;4,"N/A",IF('16 bit registers'!E343=""," ",'16 bit registers'!E343))</f>
        <v>N/A</v>
      </c>
      <c r="E230" s="127" t="str">
        <f>IF('16 bit registers'!F343=""," ",'16 bit registers'!F343)</f>
        <v xml:space="preserve"> </v>
      </c>
      <c r="F230" s="127" t="str">
        <f>IF('16 bit registers'!G343=""," ",'16 bit registers'!G343)</f>
        <v xml:space="preserve"> </v>
      </c>
    </row>
    <row r="231" spans="1:6" x14ac:dyDescent="0.2">
      <c r="A231" s="30">
        <f t="shared" si="3"/>
        <v>40228</v>
      </c>
      <c r="B231" s="31" t="s">
        <v>450</v>
      </c>
      <c r="C231" s="128"/>
      <c r="D231" s="128"/>
      <c r="E231" s="128"/>
      <c r="F231" s="128"/>
    </row>
    <row r="232" spans="1:6" x14ac:dyDescent="0.2">
      <c r="A232" s="30">
        <f t="shared" si="3"/>
        <v>40229</v>
      </c>
      <c r="B232" s="31" t="s">
        <v>451</v>
      </c>
      <c r="C232" s="127" t="str">
        <f>IF(TB_IO!D1&lt;4,"N/A",IF('16 bit registers'!D344=""," ",'16 bit registers'!D344))</f>
        <v>N/A</v>
      </c>
      <c r="D232" s="127" t="str">
        <f>IF(TB_IO!D1&lt;4,"N/A",IF('16 bit registers'!E344=""," ",'16 bit registers'!E344))</f>
        <v>N/A</v>
      </c>
      <c r="E232" s="127" t="str">
        <f>IF('16 bit registers'!F344=""," ",'16 bit registers'!F344)</f>
        <v xml:space="preserve"> </v>
      </c>
      <c r="F232" s="127" t="str">
        <f>IF('16 bit registers'!G344=""," ",'16 bit registers'!G344)</f>
        <v xml:space="preserve"> </v>
      </c>
    </row>
    <row r="233" spans="1:6" x14ac:dyDescent="0.2">
      <c r="A233" s="30">
        <f t="shared" si="3"/>
        <v>40230</v>
      </c>
      <c r="B233" s="31" t="s">
        <v>452</v>
      </c>
      <c r="C233" s="128"/>
      <c r="D233" s="128"/>
      <c r="E233" s="128"/>
      <c r="F233" s="128"/>
    </row>
    <row r="234" spans="1:6" x14ac:dyDescent="0.2">
      <c r="A234" s="30">
        <f t="shared" si="3"/>
        <v>40231</v>
      </c>
      <c r="B234" s="31" t="s">
        <v>453</v>
      </c>
      <c r="C234" s="127" t="str">
        <f>IF(TB_IO!D1&lt;4,"N/A",IF('16 bit registers'!D345=""," ",'16 bit registers'!D345))</f>
        <v>N/A</v>
      </c>
      <c r="D234" s="127" t="str">
        <f>IF(TB_IO!D1&lt;4,"N/A",IF('16 bit registers'!E345=""," ",'16 bit registers'!E345))</f>
        <v>N/A</v>
      </c>
      <c r="E234" s="127" t="str">
        <f>IF('16 bit registers'!F345=""," ",'16 bit registers'!F345)</f>
        <v xml:space="preserve"> </v>
      </c>
      <c r="F234" s="127" t="str">
        <f>IF('16 bit registers'!G345=""," ",'16 bit registers'!G345)</f>
        <v xml:space="preserve"> </v>
      </c>
    </row>
    <row r="235" spans="1:6" x14ac:dyDescent="0.2">
      <c r="A235" s="30">
        <f t="shared" si="3"/>
        <v>40232</v>
      </c>
      <c r="B235" s="31" t="s">
        <v>454</v>
      </c>
      <c r="C235" s="128"/>
      <c r="D235" s="128"/>
      <c r="E235" s="128"/>
      <c r="F235" s="128"/>
    </row>
    <row r="236" spans="1:6" x14ac:dyDescent="0.2">
      <c r="A236" s="30">
        <f t="shared" si="3"/>
        <v>40233</v>
      </c>
      <c r="B236" s="31" t="s">
        <v>455</v>
      </c>
      <c r="C236" s="127" t="str">
        <f>IF(TB_IO!D1&lt;4,"N/A",IF('16 bit registers'!D346=""," ",'16 bit registers'!D346))</f>
        <v>N/A</v>
      </c>
      <c r="D236" s="127" t="str">
        <f>IF(TB_IO!D1&lt;4,"N/A",IF('16 bit registers'!E346=""," ",'16 bit registers'!E346))</f>
        <v>N/A</v>
      </c>
      <c r="E236" s="127" t="str">
        <f>IF('16 bit registers'!F346=""," ",'16 bit registers'!F346)</f>
        <v xml:space="preserve"> </v>
      </c>
      <c r="F236" s="127" t="str">
        <f>IF('16 bit registers'!G346=""," ",'16 bit registers'!G346)</f>
        <v xml:space="preserve"> </v>
      </c>
    </row>
    <row r="237" spans="1:6" x14ac:dyDescent="0.2">
      <c r="A237" s="30">
        <f t="shared" si="3"/>
        <v>40234</v>
      </c>
      <c r="B237" s="31" t="s">
        <v>456</v>
      </c>
      <c r="C237" s="128"/>
      <c r="D237" s="128"/>
      <c r="E237" s="128"/>
      <c r="F237" s="128"/>
    </row>
    <row r="238" spans="1:6" x14ac:dyDescent="0.2">
      <c r="A238" s="30">
        <f t="shared" si="3"/>
        <v>40235</v>
      </c>
      <c r="B238" s="31" t="s">
        <v>457</v>
      </c>
      <c r="C238" s="127" t="str">
        <f>IF(TB_IO!D1&lt;4,"N/A",IF('16 bit registers'!D347=""," ",'16 bit registers'!D347))</f>
        <v>N/A</v>
      </c>
      <c r="D238" s="127" t="str">
        <f>IF(TB_IO!D1&lt;4,"N/A",IF('16 bit registers'!E347=""," ",'16 bit registers'!E347))</f>
        <v>N/A</v>
      </c>
      <c r="E238" s="127" t="str">
        <f>IF('16 bit registers'!F347=""," ",'16 bit registers'!F347)</f>
        <v xml:space="preserve"> </v>
      </c>
      <c r="F238" s="127" t="str">
        <f>IF('16 bit registers'!G347=""," ",'16 bit registers'!G347)</f>
        <v xml:space="preserve"> </v>
      </c>
    </row>
    <row r="239" spans="1:6" x14ac:dyDescent="0.2">
      <c r="A239" s="30">
        <f t="shared" si="3"/>
        <v>40236</v>
      </c>
      <c r="B239" s="31" t="s">
        <v>458</v>
      </c>
      <c r="C239" s="128"/>
      <c r="D239" s="128"/>
      <c r="E239" s="128"/>
      <c r="F239" s="128"/>
    </row>
    <row r="240" spans="1:6" x14ac:dyDescent="0.2">
      <c r="A240" s="30">
        <f t="shared" si="3"/>
        <v>40237</v>
      </c>
      <c r="B240" s="31" t="s">
        <v>459</v>
      </c>
      <c r="C240" s="127" t="str">
        <f>IF(TB_IO!D1&lt;4,"N/A",IF('16 bit registers'!D348=""," ",'16 bit registers'!D348))</f>
        <v>N/A</v>
      </c>
      <c r="D240" s="127" t="str">
        <f>IF(TB_IO!D1&lt;4,"N/A",IF('16 bit registers'!E348=""," ",'16 bit registers'!E348))</f>
        <v>N/A</v>
      </c>
      <c r="E240" s="127" t="str">
        <f>IF('16 bit registers'!F348=""," ",'16 bit registers'!F348)</f>
        <v xml:space="preserve"> </v>
      </c>
      <c r="F240" s="127" t="str">
        <f>IF('16 bit registers'!G348=""," ",'16 bit registers'!G348)</f>
        <v xml:space="preserve"> </v>
      </c>
    </row>
    <row r="241" spans="1:6" x14ac:dyDescent="0.2">
      <c r="A241" s="30">
        <f t="shared" si="3"/>
        <v>40238</v>
      </c>
      <c r="B241" s="31" t="s">
        <v>460</v>
      </c>
      <c r="C241" s="128"/>
      <c r="D241" s="128"/>
      <c r="E241" s="128"/>
      <c r="F241" s="128"/>
    </row>
    <row r="242" spans="1:6" x14ac:dyDescent="0.2">
      <c r="A242" s="30">
        <f t="shared" si="3"/>
        <v>40239</v>
      </c>
      <c r="B242" s="31" t="s">
        <v>461</v>
      </c>
      <c r="C242" s="127" t="str">
        <f>IF(TB_IO!D1&lt;4,"N/A",IF('16 bit registers'!D349=""," ",'16 bit registers'!D349))</f>
        <v>N/A</v>
      </c>
      <c r="D242" s="127" t="str">
        <f>IF(TB_IO!D1&lt;4,"N/A",IF('16 bit registers'!E349=""," ",'16 bit registers'!E349))</f>
        <v>N/A</v>
      </c>
      <c r="E242" s="127" t="str">
        <f>IF('16 bit registers'!F349=""," ",'16 bit registers'!F349)</f>
        <v xml:space="preserve"> </v>
      </c>
      <c r="F242" s="127" t="str">
        <f>IF('16 bit registers'!G349=""," ",'16 bit registers'!G349)</f>
        <v xml:space="preserve"> </v>
      </c>
    </row>
    <row r="243" spans="1:6" x14ac:dyDescent="0.2">
      <c r="A243" s="30">
        <f t="shared" si="3"/>
        <v>40240</v>
      </c>
      <c r="B243" s="31" t="s">
        <v>462</v>
      </c>
      <c r="C243" s="128"/>
      <c r="D243" s="128"/>
      <c r="E243" s="128"/>
      <c r="F243" s="128"/>
    </row>
    <row r="244" spans="1:6" x14ac:dyDescent="0.2">
      <c r="A244" s="30">
        <f t="shared" si="3"/>
        <v>40241</v>
      </c>
      <c r="B244" s="31" t="s">
        <v>463</v>
      </c>
      <c r="C244" s="127" t="str">
        <f>IF(TB_IO!D1&lt;4,"N/A",IF('16 bit registers'!D350=""," ",'16 bit registers'!D350))</f>
        <v>N/A</v>
      </c>
      <c r="D244" s="127" t="str">
        <f>IF(TB_IO!D1&lt;4,"N/A",IF('16 bit registers'!E350=""," ",'16 bit registers'!E350))</f>
        <v>N/A</v>
      </c>
      <c r="E244" s="127" t="str">
        <f>IF('16 bit registers'!F350=""," ",'16 bit registers'!F350)</f>
        <v xml:space="preserve"> </v>
      </c>
      <c r="F244" s="127" t="str">
        <f>IF('16 bit registers'!G350=""," ",'16 bit registers'!G350)</f>
        <v xml:space="preserve"> </v>
      </c>
    </row>
    <row r="245" spans="1:6" x14ac:dyDescent="0.2">
      <c r="A245" s="30">
        <f t="shared" si="3"/>
        <v>40242</v>
      </c>
      <c r="B245" s="31" t="s">
        <v>464</v>
      </c>
      <c r="C245" s="128"/>
      <c r="D245" s="128"/>
      <c r="E245" s="128"/>
      <c r="F245" s="128"/>
    </row>
    <row r="246" spans="1:6" x14ac:dyDescent="0.2">
      <c r="A246" s="30">
        <f t="shared" si="3"/>
        <v>40243</v>
      </c>
      <c r="B246" s="31" t="s">
        <v>465</v>
      </c>
      <c r="C246" s="127" t="str">
        <f>IF(TB_IO!D1&lt;4,"N/A",IF('16 bit registers'!D351=""," ",'16 bit registers'!D351))</f>
        <v>N/A</v>
      </c>
      <c r="D246" s="127" t="str">
        <f>IF(TB_IO!D1&lt;4,"N/A",IF('16 bit registers'!E351=""," ",'16 bit registers'!E351))</f>
        <v>N/A</v>
      </c>
      <c r="E246" s="127" t="str">
        <f>IF('16 bit registers'!F351=""," ",'16 bit registers'!F351)</f>
        <v xml:space="preserve"> </v>
      </c>
      <c r="F246" s="127" t="str">
        <f>IF('16 bit registers'!G351=""," ",'16 bit registers'!G351)</f>
        <v xml:space="preserve"> </v>
      </c>
    </row>
    <row r="247" spans="1:6" x14ac:dyDescent="0.2">
      <c r="A247" s="30">
        <f t="shared" si="3"/>
        <v>40244</v>
      </c>
      <c r="B247" s="31" t="s">
        <v>466</v>
      </c>
      <c r="C247" s="128"/>
      <c r="D247" s="128"/>
      <c r="E247" s="128"/>
      <c r="F247" s="128"/>
    </row>
    <row r="248" spans="1:6" x14ac:dyDescent="0.2">
      <c r="A248" s="30">
        <f t="shared" si="3"/>
        <v>40245</v>
      </c>
      <c r="B248" s="31" t="s">
        <v>467</v>
      </c>
      <c r="C248" s="127" t="str">
        <f>IF(TB_IO!D1&lt;4,"N/A",IF('16 bit registers'!D352=""," ",'16 bit registers'!D352))</f>
        <v>N/A</v>
      </c>
      <c r="D248" s="127" t="str">
        <f>IF(TB_IO!D1&lt;4,"N/A",IF('16 bit registers'!E352=""," ",'16 bit registers'!E352))</f>
        <v>N/A</v>
      </c>
      <c r="E248" s="127" t="str">
        <f>IF('16 bit registers'!F352=""," ",'16 bit registers'!F352)</f>
        <v xml:space="preserve"> </v>
      </c>
      <c r="F248" s="127" t="str">
        <f>IF('16 bit registers'!G352=""," ",'16 bit registers'!G352)</f>
        <v xml:space="preserve"> </v>
      </c>
    </row>
    <row r="249" spans="1:6" x14ac:dyDescent="0.2">
      <c r="A249" s="30">
        <f t="shared" si="3"/>
        <v>40246</v>
      </c>
      <c r="B249" s="31" t="s">
        <v>468</v>
      </c>
      <c r="C249" s="128"/>
      <c r="D249" s="128"/>
      <c r="E249" s="128"/>
      <c r="F249" s="128"/>
    </row>
    <row r="250" spans="1:6" x14ac:dyDescent="0.2">
      <c r="A250" s="30">
        <f t="shared" si="3"/>
        <v>40247</v>
      </c>
      <c r="B250" s="31" t="s">
        <v>469</v>
      </c>
      <c r="C250" s="127" t="str">
        <f>IF(TB_IO!D1&lt;4,"N/A",IF('16 bit registers'!D353=""," ",'16 bit registers'!D353))</f>
        <v>N/A</v>
      </c>
      <c r="D250" s="127" t="str">
        <f>IF(TB_IO!D1&lt;4,"N/A",IF('16 bit registers'!E353=""," ",'16 bit registers'!E353))</f>
        <v>N/A</v>
      </c>
      <c r="E250" s="127" t="str">
        <f>IF('16 bit registers'!F353=""," ",'16 bit registers'!F353)</f>
        <v xml:space="preserve"> </v>
      </c>
      <c r="F250" s="127" t="str">
        <f>IF('16 bit registers'!G353=""," ",'16 bit registers'!G353)</f>
        <v xml:space="preserve"> </v>
      </c>
    </row>
    <row r="251" spans="1:6" x14ac:dyDescent="0.2">
      <c r="A251" s="30">
        <f t="shared" si="3"/>
        <v>40248</v>
      </c>
      <c r="B251" s="31" t="s">
        <v>470</v>
      </c>
      <c r="C251" s="128"/>
      <c r="D251" s="128"/>
      <c r="E251" s="128"/>
      <c r="F251" s="128"/>
    </row>
    <row r="252" spans="1:6" x14ac:dyDescent="0.2">
      <c r="A252" s="30">
        <f t="shared" si="3"/>
        <v>40249</v>
      </c>
      <c r="B252" s="31" t="s">
        <v>471</v>
      </c>
      <c r="C252" s="127" t="str">
        <f>IF(TB_IO!D1&lt;4,"N/A",IF('16 bit registers'!D354=""," ",'16 bit registers'!D354))</f>
        <v>N/A</v>
      </c>
      <c r="D252" s="127" t="str">
        <f>IF(TB_IO!D1&lt;4,"N/A",IF('16 bit registers'!E354=""," ",'16 bit registers'!E354))</f>
        <v>N/A</v>
      </c>
      <c r="E252" s="127" t="str">
        <f>IF('16 bit registers'!F354=""," ",'16 bit registers'!F354)</f>
        <v xml:space="preserve"> </v>
      </c>
      <c r="F252" s="127" t="str">
        <f>IF('16 bit registers'!G354=""," ",'16 bit registers'!G354)</f>
        <v xml:space="preserve"> </v>
      </c>
    </row>
    <row r="253" spans="1:6" x14ac:dyDescent="0.2">
      <c r="A253" s="30">
        <f t="shared" si="3"/>
        <v>40250</v>
      </c>
      <c r="B253" s="31" t="s">
        <v>472</v>
      </c>
      <c r="C253" s="128"/>
      <c r="D253" s="128"/>
      <c r="E253" s="128"/>
      <c r="F253" s="128"/>
    </row>
    <row r="254" spans="1:6" x14ac:dyDescent="0.2">
      <c r="A254" s="30">
        <f t="shared" si="3"/>
        <v>40251</v>
      </c>
      <c r="B254" s="31" t="s">
        <v>473</v>
      </c>
      <c r="C254" s="127" t="str">
        <f>IF(TB_IO!D1&lt;4,"N/A",IF('16 bit registers'!D355=""," ",'16 bit registers'!D355))</f>
        <v>N/A</v>
      </c>
      <c r="D254" s="127" t="str">
        <f>IF(TB_IO!D1&lt;4,"N/A",IF('16 bit registers'!E355=""," ",'16 bit registers'!E355))</f>
        <v>N/A</v>
      </c>
      <c r="E254" s="127" t="str">
        <f>IF('16 bit registers'!F355=""," ",'16 bit registers'!F355)</f>
        <v xml:space="preserve"> </v>
      </c>
      <c r="F254" s="127" t="str">
        <f>IF('16 bit registers'!G355=""," ",'16 bit registers'!G355)</f>
        <v xml:space="preserve"> </v>
      </c>
    </row>
    <row r="255" spans="1:6" x14ac:dyDescent="0.2">
      <c r="A255" s="30">
        <f t="shared" si="3"/>
        <v>40252</v>
      </c>
      <c r="B255" s="31" t="s">
        <v>474</v>
      </c>
      <c r="C255" s="128"/>
      <c r="D255" s="128"/>
      <c r="E255" s="128"/>
      <c r="F255" s="128"/>
    </row>
    <row r="256" spans="1:6" x14ac:dyDescent="0.2">
      <c r="A256" s="30">
        <f t="shared" si="3"/>
        <v>40253</v>
      </c>
      <c r="B256" s="31" t="s">
        <v>475</v>
      </c>
      <c r="C256" s="127" t="str">
        <f>IF(TB_IO!D1&lt;4,"N/A",IF('16 bit registers'!D356=""," ",'16 bit registers'!D356))</f>
        <v>N/A</v>
      </c>
      <c r="D256" s="127" t="str">
        <f>IF(TB_IO!D1&lt;4,"N/A",IF('16 bit registers'!E356=""," ",'16 bit registers'!E356))</f>
        <v>N/A</v>
      </c>
      <c r="E256" s="127" t="str">
        <f>IF('16 bit registers'!F356=""," ",'16 bit registers'!F356)</f>
        <v xml:space="preserve"> </v>
      </c>
      <c r="F256" s="127" t="str">
        <f>IF('16 bit registers'!G356=""," ",'16 bit registers'!G356)</f>
        <v xml:space="preserve"> </v>
      </c>
    </row>
    <row r="257" spans="1:6" x14ac:dyDescent="0.2">
      <c r="A257" s="30">
        <f t="shared" si="3"/>
        <v>40254</v>
      </c>
      <c r="B257" s="31" t="s">
        <v>476</v>
      </c>
      <c r="C257" s="128"/>
      <c r="D257" s="128"/>
      <c r="E257" s="128"/>
      <c r="F257" s="128"/>
    </row>
    <row r="258" spans="1:6" x14ac:dyDescent="0.2">
      <c r="A258" s="30">
        <f t="shared" si="3"/>
        <v>40255</v>
      </c>
      <c r="B258" s="31" t="s">
        <v>477</v>
      </c>
      <c r="C258" s="127" t="str">
        <f>IF(TB_IO!D1&lt;4,"N/A",IF('16 bit registers'!D357=""," ",'16 bit registers'!D357))</f>
        <v>N/A</v>
      </c>
      <c r="D258" s="127" t="str">
        <f>IF(TB_IO!D1&lt;4,"N/A",IF('16 bit registers'!E357=""," ",'16 bit registers'!E357))</f>
        <v>N/A</v>
      </c>
      <c r="E258" s="127" t="str">
        <f>IF('16 bit registers'!F357=""," ",'16 bit registers'!F357)</f>
        <v xml:space="preserve"> </v>
      </c>
      <c r="F258" s="127" t="str">
        <f>IF('16 bit registers'!G357=""," ",'16 bit registers'!G357)</f>
        <v xml:space="preserve"> </v>
      </c>
    </row>
    <row r="259" spans="1:6" x14ac:dyDescent="0.2">
      <c r="A259" s="30">
        <f t="shared" si="3"/>
        <v>40256</v>
      </c>
      <c r="B259" s="31" t="s">
        <v>478</v>
      </c>
      <c r="C259" s="128"/>
      <c r="D259" s="128"/>
      <c r="E259" s="128"/>
      <c r="F259" s="128"/>
    </row>
    <row r="260" spans="1:6" x14ac:dyDescent="0.2">
      <c r="A260" s="30">
        <f t="shared" si="3"/>
        <v>40257</v>
      </c>
      <c r="B260" s="31" t="s">
        <v>479</v>
      </c>
      <c r="C260" s="127" t="str">
        <f>IF(TB_IO!D1&lt;5,"N/A",IF('16 bit registers'!D358=""," ",'16 bit registers'!D358))</f>
        <v>N/A</v>
      </c>
      <c r="D260" s="127" t="str">
        <f>IF(TB_IO!D1&lt;5,"N/A",IF('16 bit registers'!E358=""," ",'16 bit registers'!E358))</f>
        <v>N/A</v>
      </c>
      <c r="E260" s="127" t="str">
        <f>IF('16 bit registers'!F358=""," ",'16 bit registers'!F358)</f>
        <v xml:space="preserve"> </v>
      </c>
      <c r="F260" s="127" t="str">
        <f>IF('16 bit registers'!G358=""," ",'16 bit registers'!G358)</f>
        <v xml:space="preserve"> </v>
      </c>
    </row>
    <row r="261" spans="1:6" x14ac:dyDescent="0.2">
      <c r="A261" s="30">
        <f t="shared" si="3"/>
        <v>40258</v>
      </c>
      <c r="B261" s="31" t="s">
        <v>480</v>
      </c>
      <c r="C261" s="128"/>
      <c r="D261" s="128"/>
      <c r="E261" s="128"/>
      <c r="F261" s="128"/>
    </row>
    <row r="262" spans="1:6" x14ac:dyDescent="0.2">
      <c r="A262" s="30">
        <f t="shared" ref="A262:A323" si="4">A261 + 1</f>
        <v>40259</v>
      </c>
      <c r="B262" s="31" t="s">
        <v>481</v>
      </c>
      <c r="C262" s="127" t="str">
        <f>IF(TB_IO!D1&lt;5,"N/A",IF('16 bit registers'!D359=""," ",'16 bit registers'!D359))</f>
        <v>N/A</v>
      </c>
      <c r="D262" s="127" t="str">
        <f>IF(TB_IO!D1&lt;5,"N/A",IF('16 bit registers'!E359=""," ",'16 bit registers'!E359))</f>
        <v>N/A</v>
      </c>
      <c r="E262" s="127" t="str">
        <f>IF('16 bit registers'!F359=""," ",'16 bit registers'!F359)</f>
        <v xml:space="preserve"> </v>
      </c>
      <c r="F262" s="127" t="str">
        <f>IF('16 bit registers'!G359=""," ",'16 bit registers'!G359)</f>
        <v xml:space="preserve"> </v>
      </c>
    </row>
    <row r="263" spans="1:6" x14ac:dyDescent="0.2">
      <c r="A263" s="30">
        <f t="shared" si="4"/>
        <v>40260</v>
      </c>
      <c r="B263" s="31" t="s">
        <v>482</v>
      </c>
      <c r="C263" s="128"/>
      <c r="D263" s="128"/>
      <c r="E263" s="128"/>
      <c r="F263" s="128"/>
    </row>
    <row r="264" spans="1:6" x14ac:dyDescent="0.2">
      <c r="A264" s="30">
        <f t="shared" si="4"/>
        <v>40261</v>
      </c>
      <c r="B264" s="31" t="s">
        <v>483</v>
      </c>
      <c r="C264" s="127" t="str">
        <f>IF(TB_IO!D1&lt;5,"N/A",IF('16 bit registers'!D360=""," ",'16 bit registers'!D360))</f>
        <v>N/A</v>
      </c>
      <c r="D264" s="127" t="str">
        <f>IF(TB_IO!D1&lt;5,"N/A",IF('16 bit registers'!E360=""," ",'16 bit registers'!E360))</f>
        <v>N/A</v>
      </c>
      <c r="E264" s="127" t="str">
        <f>IF('16 bit registers'!F360=""," ",'16 bit registers'!F360)</f>
        <v xml:space="preserve"> </v>
      </c>
      <c r="F264" s="127" t="str">
        <f>IF('16 bit registers'!G360=""," ",'16 bit registers'!G360)</f>
        <v xml:space="preserve"> </v>
      </c>
    </row>
    <row r="265" spans="1:6" x14ac:dyDescent="0.2">
      <c r="A265" s="30">
        <f t="shared" si="4"/>
        <v>40262</v>
      </c>
      <c r="B265" s="31" t="s">
        <v>484</v>
      </c>
      <c r="C265" s="128"/>
      <c r="D265" s="128"/>
      <c r="E265" s="128"/>
      <c r="F265" s="128"/>
    </row>
    <row r="266" spans="1:6" x14ac:dyDescent="0.2">
      <c r="A266" s="30">
        <f t="shared" si="4"/>
        <v>40263</v>
      </c>
      <c r="B266" s="31" t="s">
        <v>485</v>
      </c>
      <c r="C266" s="127" t="str">
        <f>IF(TB_IO!D1&lt;5,"N/A",IF('16 bit registers'!D361=""," ",'16 bit registers'!D361))</f>
        <v>N/A</v>
      </c>
      <c r="D266" s="127" t="str">
        <f>IF(TB_IO!D1&lt;5,"N/A",IF('16 bit registers'!E361=""," ",'16 bit registers'!E361))</f>
        <v>N/A</v>
      </c>
      <c r="E266" s="127" t="str">
        <f>IF('16 bit registers'!F361=""," ",'16 bit registers'!F361)</f>
        <v xml:space="preserve"> </v>
      </c>
      <c r="F266" s="127" t="str">
        <f>IF('16 bit registers'!G361=""," ",'16 bit registers'!G361)</f>
        <v xml:space="preserve"> </v>
      </c>
    </row>
    <row r="267" spans="1:6" x14ac:dyDescent="0.2">
      <c r="A267" s="30">
        <f t="shared" si="4"/>
        <v>40264</v>
      </c>
      <c r="B267" s="31" t="s">
        <v>486</v>
      </c>
      <c r="C267" s="128"/>
      <c r="D267" s="128"/>
      <c r="E267" s="128"/>
      <c r="F267" s="128"/>
    </row>
    <row r="268" spans="1:6" x14ac:dyDescent="0.2">
      <c r="A268" s="30">
        <f t="shared" si="4"/>
        <v>40265</v>
      </c>
      <c r="B268" s="31" t="s">
        <v>487</v>
      </c>
      <c r="C268" s="127" t="str">
        <f>IF(TB_IO!D1&lt;5,"N/A",IF('16 bit registers'!D362=""," ",'16 bit registers'!D362))</f>
        <v>N/A</v>
      </c>
      <c r="D268" s="127" t="str">
        <f>IF(TB_IO!D1&lt;5,"N/A",IF('16 bit registers'!E362=""," ",'16 bit registers'!E362))</f>
        <v>N/A</v>
      </c>
      <c r="E268" s="127" t="str">
        <f>IF('16 bit registers'!F362=""," ",'16 bit registers'!F362)</f>
        <v xml:space="preserve"> </v>
      </c>
      <c r="F268" s="127" t="str">
        <f>IF('16 bit registers'!G362=""," ",'16 bit registers'!G362)</f>
        <v xml:space="preserve"> </v>
      </c>
    </row>
    <row r="269" spans="1:6" x14ac:dyDescent="0.2">
      <c r="A269" s="30">
        <f t="shared" si="4"/>
        <v>40266</v>
      </c>
      <c r="B269" s="31" t="s">
        <v>488</v>
      </c>
      <c r="C269" s="128"/>
      <c r="D269" s="128"/>
      <c r="E269" s="128"/>
      <c r="F269" s="128"/>
    </row>
    <row r="270" spans="1:6" x14ac:dyDescent="0.2">
      <c r="A270" s="30">
        <f t="shared" si="4"/>
        <v>40267</v>
      </c>
      <c r="B270" s="31" t="s">
        <v>489</v>
      </c>
      <c r="C270" s="127" t="str">
        <f>IF(TB_IO!D1&lt;5,"N/A",IF('16 bit registers'!D363=""," ",'16 bit registers'!D363))</f>
        <v>N/A</v>
      </c>
      <c r="D270" s="127" t="str">
        <f>IF(TB_IO!D1&lt;5,"N/A",IF('16 bit registers'!E363=""," ",'16 bit registers'!E363))</f>
        <v>N/A</v>
      </c>
      <c r="E270" s="127" t="str">
        <f>IF('16 bit registers'!F363=""," ",'16 bit registers'!F363)</f>
        <v xml:space="preserve"> </v>
      </c>
      <c r="F270" s="127" t="str">
        <f>IF('16 bit registers'!G363=""," ",'16 bit registers'!G363)</f>
        <v xml:space="preserve"> </v>
      </c>
    </row>
    <row r="271" spans="1:6" x14ac:dyDescent="0.2">
      <c r="A271" s="30">
        <f t="shared" si="4"/>
        <v>40268</v>
      </c>
      <c r="B271" s="31" t="s">
        <v>490</v>
      </c>
      <c r="C271" s="128"/>
      <c r="D271" s="128"/>
      <c r="E271" s="128"/>
      <c r="F271" s="128"/>
    </row>
    <row r="272" spans="1:6" x14ac:dyDescent="0.2">
      <c r="A272" s="30">
        <f t="shared" si="4"/>
        <v>40269</v>
      </c>
      <c r="B272" s="31" t="s">
        <v>491</v>
      </c>
      <c r="C272" s="127" t="str">
        <f>IF(TB_IO!D1&lt;5,"N/A",IF('16 bit registers'!D364=""," ",'16 bit registers'!D364))</f>
        <v>N/A</v>
      </c>
      <c r="D272" s="127" t="str">
        <f>IF(TB_IO!D1&lt;5,"N/A",IF('16 bit registers'!E364=""," ",'16 bit registers'!E364))</f>
        <v>N/A</v>
      </c>
      <c r="E272" s="127" t="str">
        <f>IF('16 bit registers'!F364=""," ",'16 bit registers'!F364)</f>
        <v xml:space="preserve"> </v>
      </c>
      <c r="F272" s="127" t="str">
        <f>IF('16 bit registers'!G364=""," ",'16 bit registers'!G364)</f>
        <v xml:space="preserve"> </v>
      </c>
    </row>
    <row r="273" spans="1:6" x14ac:dyDescent="0.2">
      <c r="A273" s="30">
        <f t="shared" si="4"/>
        <v>40270</v>
      </c>
      <c r="B273" s="31" t="s">
        <v>492</v>
      </c>
      <c r="C273" s="128"/>
      <c r="D273" s="128"/>
      <c r="E273" s="128"/>
      <c r="F273" s="128"/>
    </row>
    <row r="274" spans="1:6" x14ac:dyDescent="0.2">
      <c r="A274" s="30">
        <f t="shared" si="4"/>
        <v>40271</v>
      </c>
      <c r="B274" s="31" t="s">
        <v>493</v>
      </c>
      <c r="C274" s="127" t="str">
        <f>IF(TB_IO!D1&lt;5,"N/A",IF('16 bit registers'!D365=""," ",'16 bit registers'!D365))</f>
        <v>N/A</v>
      </c>
      <c r="D274" s="127" t="str">
        <f>IF(TB_IO!D1&lt;5,"N/A",IF('16 bit registers'!E365=""," ",'16 bit registers'!E365))</f>
        <v>N/A</v>
      </c>
      <c r="E274" s="127" t="str">
        <f>IF('16 bit registers'!F365=""," ",'16 bit registers'!F365)</f>
        <v xml:space="preserve"> </v>
      </c>
      <c r="F274" s="127" t="str">
        <f>IF('16 bit registers'!G365=""," ",'16 bit registers'!G365)</f>
        <v xml:space="preserve"> </v>
      </c>
    </row>
    <row r="275" spans="1:6" x14ac:dyDescent="0.2">
      <c r="A275" s="30">
        <f t="shared" si="4"/>
        <v>40272</v>
      </c>
      <c r="B275" s="31" t="s">
        <v>494</v>
      </c>
      <c r="C275" s="128"/>
      <c r="D275" s="128"/>
      <c r="E275" s="128"/>
      <c r="F275" s="128"/>
    </row>
    <row r="276" spans="1:6" x14ac:dyDescent="0.2">
      <c r="A276" s="30">
        <f t="shared" si="4"/>
        <v>40273</v>
      </c>
      <c r="B276" s="31" t="s">
        <v>495</v>
      </c>
      <c r="C276" s="127" t="str">
        <f>IF(TB_IO!D1&lt;5,"N/A",IF('16 bit registers'!D366=""," ",'16 bit registers'!D366))</f>
        <v>N/A</v>
      </c>
      <c r="D276" s="127" t="str">
        <f>IF(TB_IO!D1&lt;5,"N/A",IF('16 bit registers'!E366=""," ",'16 bit registers'!E366))</f>
        <v>N/A</v>
      </c>
      <c r="E276" s="127" t="str">
        <f>IF('16 bit registers'!F366=""," ",'16 bit registers'!F366)</f>
        <v xml:space="preserve"> </v>
      </c>
      <c r="F276" s="127" t="str">
        <f>IF('16 bit registers'!G366=""," ",'16 bit registers'!G366)</f>
        <v xml:space="preserve"> </v>
      </c>
    </row>
    <row r="277" spans="1:6" x14ac:dyDescent="0.2">
      <c r="A277" s="30">
        <f t="shared" si="4"/>
        <v>40274</v>
      </c>
      <c r="B277" s="31" t="s">
        <v>496</v>
      </c>
      <c r="C277" s="128"/>
      <c r="D277" s="128"/>
      <c r="E277" s="128"/>
      <c r="F277" s="128"/>
    </row>
    <row r="278" spans="1:6" x14ac:dyDescent="0.2">
      <c r="A278" s="30">
        <f t="shared" si="4"/>
        <v>40275</v>
      </c>
      <c r="B278" s="31" t="s">
        <v>497</v>
      </c>
      <c r="C278" s="127" t="str">
        <f>IF(TB_IO!D1&lt;5,"N/A",IF('16 bit registers'!D367=""," ",'16 bit registers'!D367))</f>
        <v>N/A</v>
      </c>
      <c r="D278" s="127" t="str">
        <f>IF(TB_IO!D1&lt;5,"N/A",IF('16 bit registers'!E367=""," ",'16 bit registers'!E367))</f>
        <v>N/A</v>
      </c>
      <c r="E278" s="127" t="str">
        <f>IF('16 bit registers'!F367=""," ",'16 bit registers'!F367)</f>
        <v xml:space="preserve"> </v>
      </c>
      <c r="F278" s="127" t="str">
        <f>IF('16 bit registers'!G367=""," ",'16 bit registers'!G367)</f>
        <v xml:space="preserve"> </v>
      </c>
    </row>
    <row r="279" spans="1:6" x14ac:dyDescent="0.2">
      <c r="A279" s="30">
        <f t="shared" si="4"/>
        <v>40276</v>
      </c>
      <c r="B279" s="31" t="s">
        <v>498</v>
      </c>
      <c r="C279" s="128"/>
      <c r="D279" s="128"/>
      <c r="E279" s="128"/>
      <c r="F279" s="128"/>
    </row>
    <row r="280" spans="1:6" x14ac:dyDescent="0.2">
      <c r="A280" s="30">
        <f t="shared" si="4"/>
        <v>40277</v>
      </c>
      <c r="B280" s="31" t="s">
        <v>499</v>
      </c>
      <c r="C280" s="127" t="str">
        <f>IF(TB_IO!D1&lt;5,"N/A",IF('16 bit registers'!D368=""," ",'16 bit registers'!D368))</f>
        <v>N/A</v>
      </c>
      <c r="D280" s="127" t="str">
        <f>IF(TB_IO!D1&lt;5,"N/A",IF('16 bit registers'!E368=""," ",'16 bit registers'!E368))</f>
        <v>N/A</v>
      </c>
      <c r="E280" s="127" t="str">
        <f>IF('16 bit registers'!F368=""," ",'16 bit registers'!F368)</f>
        <v xml:space="preserve"> </v>
      </c>
      <c r="F280" s="127" t="str">
        <f>IF('16 bit registers'!G368=""," ",'16 bit registers'!G368)</f>
        <v xml:space="preserve"> </v>
      </c>
    </row>
    <row r="281" spans="1:6" x14ac:dyDescent="0.2">
      <c r="A281" s="30">
        <f t="shared" si="4"/>
        <v>40278</v>
      </c>
      <c r="B281" s="31" t="s">
        <v>500</v>
      </c>
      <c r="C281" s="128"/>
      <c r="D281" s="128"/>
      <c r="E281" s="128"/>
      <c r="F281" s="128"/>
    </row>
    <row r="282" spans="1:6" x14ac:dyDescent="0.2">
      <c r="A282" s="30">
        <f t="shared" si="4"/>
        <v>40279</v>
      </c>
      <c r="B282" s="31" t="s">
        <v>501</v>
      </c>
      <c r="C282" s="127" t="str">
        <f>IF(TB_IO!D1&lt;5,"N/A",IF('16 bit registers'!D369=""," ",'16 bit registers'!D369))</f>
        <v>N/A</v>
      </c>
      <c r="D282" s="127" t="str">
        <f>IF(TB_IO!D1&lt;5,"N/A",IF('16 bit registers'!E369=""," ",'16 bit registers'!E369))</f>
        <v>N/A</v>
      </c>
      <c r="E282" s="127" t="str">
        <f>IF('16 bit registers'!F369=""," ",'16 bit registers'!F369)</f>
        <v xml:space="preserve"> </v>
      </c>
      <c r="F282" s="127" t="str">
        <f>IF('16 bit registers'!G369=""," ",'16 bit registers'!G369)</f>
        <v xml:space="preserve"> </v>
      </c>
    </row>
    <row r="283" spans="1:6" x14ac:dyDescent="0.2">
      <c r="A283" s="30">
        <f t="shared" si="4"/>
        <v>40280</v>
      </c>
      <c r="B283" s="31" t="s">
        <v>502</v>
      </c>
      <c r="C283" s="128"/>
      <c r="D283" s="128"/>
      <c r="E283" s="128"/>
      <c r="F283" s="128"/>
    </row>
    <row r="284" spans="1:6" x14ac:dyDescent="0.2">
      <c r="A284" s="30">
        <f t="shared" si="4"/>
        <v>40281</v>
      </c>
      <c r="B284" s="31" t="s">
        <v>503</v>
      </c>
      <c r="C284" s="127" t="str">
        <f>IF(TB_IO!D1&lt;5,"N/A",IF('16 bit registers'!D370=""," ",'16 bit registers'!D370))</f>
        <v>N/A</v>
      </c>
      <c r="D284" s="127" t="str">
        <f>IF(TB_IO!D1&lt;5,"N/A",IF('16 bit registers'!E370=""," ",'16 bit registers'!E370))</f>
        <v>N/A</v>
      </c>
      <c r="E284" s="127" t="str">
        <f>IF('16 bit registers'!F370=""," ",'16 bit registers'!F370)</f>
        <v xml:space="preserve"> </v>
      </c>
      <c r="F284" s="127" t="str">
        <f>IF('16 bit registers'!G370=""," ",'16 bit registers'!G370)</f>
        <v xml:space="preserve"> </v>
      </c>
    </row>
    <row r="285" spans="1:6" x14ac:dyDescent="0.2">
      <c r="A285" s="30">
        <f t="shared" si="4"/>
        <v>40282</v>
      </c>
      <c r="B285" s="31" t="s">
        <v>504</v>
      </c>
      <c r="C285" s="128"/>
      <c r="D285" s="128"/>
      <c r="E285" s="128"/>
      <c r="F285" s="128"/>
    </row>
    <row r="286" spans="1:6" x14ac:dyDescent="0.2">
      <c r="A286" s="30">
        <f t="shared" si="4"/>
        <v>40283</v>
      </c>
      <c r="B286" s="31" t="s">
        <v>505</v>
      </c>
      <c r="C286" s="127" t="str">
        <f>IF(TB_IO!D1&lt;5,"N/A",IF('16 bit registers'!D371=""," ",'16 bit registers'!D371))</f>
        <v>N/A</v>
      </c>
      <c r="D286" s="127" t="str">
        <f>IF(TB_IO!D1&lt;5,"N/A",IF('16 bit registers'!E371=""," ",'16 bit registers'!E371))</f>
        <v>N/A</v>
      </c>
      <c r="E286" s="127" t="str">
        <f>IF('16 bit registers'!F371=""," ",'16 bit registers'!F371)</f>
        <v xml:space="preserve"> </v>
      </c>
      <c r="F286" s="127" t="str">
        <f>IF('16 bit registers'!G371=""," ",'16 bit registers'!G371)</f>
        <v xml:space="preserve"> </v>
      </c>
    </row>
    <row r="287" spans="1:6" x14ac:dyDescent="0.2">
      <c r="A287" s="30">
        <f t="shared" si="4"/>
        <v>40284</v>
      </c>
      <c r="B287" s="31" t="s">
        <v>506</v>
      </c>
      <c r="C287" s="128"/>
      <c r="D287" s="128"/>
      <c r="E287" s="128"/>
      <c r="F287" s="128"/>
    </row>
    <row r="288" spans="1:6" x14ac:dyDescent="0.2">
      <c r="A288" s="30">
        <f t="shared" si="4"/>
        <v>40285</v>
      </c>
      <c r="B288" s="31" t="s">
        <v>507</v>
      </c>
      <c r="C288" s="127" t="str">
        <f>IF(TB_IO!D1&lt;5,"N/A",IF('16 bit registers'!D372=""," ",'16 bit registers'!D372))</f>
        <v>N/A</v>
      </c>
      <c r="D288" s="127" t="str">
        <f>IF(TB_IO!D1&lt;5,"N/A",IF('16 bit registers'!E372=""," ",'16 bit registers'!E372))</f>
        <v>N/A</v>
      </c>
      <c r="E288" s="127" t="str">
        <f>IF('16 bit registers'!F372=""," ",'16 bit registers'!F372)</f>
        <v xml:space="preserve"> </v>
      </c>
      <c r="F288" s="127" t="str">
        <f>IF('16 bit registers'!G372=""," ",'16 bit registers'!G372)</f>
        <v xml:space="preserve"> </v>
      </c>
    </row>
    <row r="289" spans="1:6" x14ac:dyDescent="0.2">
      <c r="A289" s="30">
        <f t="shared" si="4"/>
        <v>40286</v>
      </c>
      <c r="B289" s="31" t="s">
        <v>508</v>
      </c>
      <c r="C289" s="128"/>
      <c r="D289" s="128"/>
      <c r="E289" s="128"/>
      <c r="F289" s="128"/>
    </row>
    <row r="290" spans="1:6" x14ac:dyDescent="0.2">
      <c r="A290" s="30">
        <f t="shared" si="4"/>
        <v>40287</v>
      </c>
      <c r="B290" s="31" t="s">
        <v>509</v>
      </c>
      <c r="C290" s="127" t="str">
        <f>IF(TB_IO!D1&lt;5,"N/A",IF('16 bit registers'!D373=""," ",'16 bit registers'!D373))</f>
        <v>N/A</v>
      </c>
      <c r="D290" s="127" t="str">
        <f>IF(TB_IO!D1&lt;5,"N/A",IF('16 bit registers'!E373=""," ",'16 bit registers'!E373))</f>
        <v>N/A</v>
      </c>
      <c r="E290" s="127" t="str">
        <f>IF('16 bit registers'!F373=""," ",'16 bit registers'!F373)</f>
        <v xml:space="preserve"> </v>
      </c>
      <c r="F290" s="127" t="str">
        <f>IF('16 bit registers'!G373=""," ",'16 bit registers'!G373)</f>
        <v xml:space="preserve"> </v>
      </c>
    </row>
    <row r="291" spans="1:6" x14ac:dyDescent="0.2">
      <c r="A291" s="30">
        <f t="shared" si="4"/>
        <v>40288</v>
      </c>
      <c r="B291" s="31" t="s">
        <v>510</v>
      </c>
      <c r="C291" s="128"/>
      <c r="D291" s="128"/>
      <c r="E291" s="128"/>
      <c r="F291" s="128"/>
    </row>
    <row r="292" spans="1:6" x14ac:dyDescent="0.2">
      <c r="A292" s="30">
        <f t="shared" si="4"/>
        <v>40289</v>
      </c>
      <c r="B292" s="31" t="s">
        <v>511</v>
      </c>
      <c r="C292" s="127" t="str">
        <f>IF(TB_IO!D1&lt;5,"N/A",IF('16 bit registers'!D374=""," ",'16 bit registers'!D374))</f>
        <v>N/A</v>
      </c>
      <c r="D292" s="127" t="str">
        <f>IF(TB_IO!D1&lt;5,"N/A",IF('16 bit registers'!E374=""," ",'16 bit registers'!E374))</f>
        <v>N/A</v>
      </c>
      <c r="E292" s="127" t="str">
        <f>IF('16 bit registers'!F374=""," ",'16 bit registers'!F374)</f>
        <v xml:space="preserve"> </v>
      </c>
      <c r="F292" s="127" t="str">
        <f>IF('16 bit registers'!G374=""," ",'16 bit registers'!G374)</f>
        <v xml:space="preserve"> </v>
      </c>
    </row>
    <row r="293" spans="1:6" x14ac:dyDescent="0.2">
      <c r="A293" s="30">
        <f t="shared" si="4"/>
        <v>40290</v>
      </c>
      <c r="B293" s="31" t="s">
        <v>512</v>
      </c>
      <c r="C293" s="128"/>
      <c r="D293" s="128"/>
      <c r="E293" s="128"/>
      <c r="F293" s="128"/>
    </row>
    <row r="294" spans="1:6" x14ac:dyDescent="0.2">
      <c r="A294" s="30">
        <f t="shared" si="4"/>
        <v>40291</v>
      </c>
      <c r="B294" s="31" t="s">
        <v>513</v>
      </c>
      <c r="C294" s="127" t="str">
        <f>IF(TB_IO!D1&lt;5,"N/A",IF('16 bit registers'!D375=""," ",'16 bit registers'!D375))</f>
        <v>N/A</v>
      </c>
      <c r="D294" s="127" t="str">
        <f>IF(TB_IO!D1&lt;5,"N/A",IF('16 bit registers'!E375=""," ",'16 bit registers'!E375))</f>
        <v>N/A</v>
      </c>
      <c r="E294" s="127" t="str">
        <f>IF('16 bit registers'!F375=""," ",'16 bit registers'!F375)</f>
        <v xml:space="preserve"> </v>
      </c>
      <c r="F294" s="127" t="str">
        <f>IF('16 bit registers'!G375=""," ",'16 bit registers'!G375)</f>
        <v xml:space="preserve"> </v>
      </c>
    </row>
    <row r="295" spans="1:6" x14ac:dyDescent="0.2">
      <c r="A295" s="30">
        <f t="shared" si="4"/>
        <v>40292</v>
      </c>
      <c r="B295" s="31" t="s">
        <v>514</v>
      </c>
      <c r="C295" s="128"/>
      <c r="D295" s="128"/>
      <c r="E295" s="128"/>
      <c r="F295" s="128"/>
    </row>
    <row r="296" spans="1:6" x14ac:dyDescent="0.2">
      <c r="A296" s="30">
        <f t="shared" si="4"/>
        <v>40293</v>
      </c>
      <c r="B296" s="31" t="s">
        <v>515</v>
      </c>
      <c r="C296" s="127" t="str">
        <f>IF(TB_IO!D1&lt;5,"N/A",IF('16 bit registers'!D376=""," ",'16 bit registers'!D376))</f>
        <v>N/A</v>
      </c>
      <c r="D296" s="127" t="str">
        <f>IF(TB_IO!D1&lt;5,"N/A",IF('16 bit registers'!E376=""," ",'16 bit registers'!E376))</f>
        <v>N/A</v>
      </c>
      <c r="E296" s="127" t="str">
        <f>IF('16 bit registers'!F376=""," ",'16 bit registers'!F376)</f>
        <v xml:space="preserve"> </v>
      </c>
      <c r="F296" s="127" t="str">
        <f>IF('16 bit registers'!G376=""," ",'16 bit registers'!G376)</f>
        <v xml:space="preserve"> </v>
      </c>
    </row>
    <row r="297" spans="1:6" x14ac:dyDescent="0.2">
      <c r="A297" s="30">
        <f t="shared" si="4"/>
        <v>40294</v>
      </c>
      <c r="B297" s="31" t="s">
        <v>516</v>
      </c>
      <c r="C297" s="128"/>
      <c r="D297" s="128"/>
      <c r="E297" s="128"/>
      <c r="F297" s="128"/>
    </row>
    <row r="298" spans="1:6" x14ac:dyDescent="0.2">
      <c r="A298" s="30">
        <f t="shared" si="4"/>
        <v>40295</v>
      </c>
      <c r="B298" s="31" t="s">
        <v>517</v>
      </c>
      <c r="C298" s="127" t="str">
        <f>IF(TB_IO!D1&lt;5,"N/A",IF('16 bit registers'!D377=""," ",'16 bit registers'!D377))</f>
        <v>N/A</v>
      </c>
      <c r="D298" s="127" t="str">
        <f>IF(TB_IO!D1&lt;5,"N/A",IF('16 bit registers'!E377=""," ",'16 bit registers'!E377))</f>
        <v>N/A</v>
      </c>
      <c r="E298" s="127" t="str">
        <f>IF('16 bit registers'!F377=""," ",'16 bit registers'!F377)</f>
        <v xml:space="preserve"> </v>
      </c>
      <c r="F298" s="127" t="str">
        <f>IF('16 bit registers'!G377=""," ",'16 bit registers'!G377)</f>
        <v xml:space="preserve"> </v>
      </c>
    </row>
    <row r="299" spans="1:6" x14ac:dyDescent="0.2">
      <c r="A299" s="30">
        <f t="shared" si="4"/>
        <v>40296</v>
      </c>
      <c r="B299" s="31" t="s">
        <v>518</v>
      </c>
      <c r="C299" s="128"/>
      <c r="D299" s="128"/>
      <c r="E299" s="128"/>
      <c r="F299" s="128"/>
    </row>
    <row r="300" spans="1:6" x14ac:dyDescent="0.2">
      <c r="A300" s="30">
        <f t="shared" si="4"/>
        <v>40297</v>
      </c>
      <c r="B300" s="31" t="s">
        <v>519</v>
      </c>
      <c r="C300" s="127" t="str">
        <f>IF(TB_IO!D1&lt;5,"N/A",IF('16 bit registers'!D378=""," ",'16 bit registers'!D378))</f>
        <v>N/A</v>
      </c>
      <c r="D300" s="127" t="str">
        <f>IF(TB_IO!D1&lt;5,"N/A",IF('16 bit registers'!E378=""," ",'16 bit registers'!E378))</f>
        <v>N/A</v>
      </c>
      <c r="E300" s="127" t="str">
        <f>IF('16 bit registers'!F378=""," ",'16 bit registers'!F378)</f>
        <v xml:space="preserve"> </v>
      </c>
      <c r="F300" s="127" t="str">
        <f>IF('16 bit registers'!G378=""," ",'16 bit registers'!G378)</f>
        <v xml:space="preserve"> </v>
      </c>
    </row>
    <row r="301" spans="1:6" x14ac:dyDescent="0.2">
      <c r="A301" s="30">
        <f t="shared" si="4"/>
        <v>40298</v>
      </c>
      <c r="B301" s="31" t="s">
        <v>520</v>
      </c>
      <c r="C301" s="128"/>
      <c r="D301" s="128"/>
      <c r="E301" s="128"/>
      <c r="F301" s="128"/>
    </row>
    <row r="302" spans="1:6" x14ac:dyDescent="0.2">
      <c r="A302" s="30">
        <f t="shared" si="4"/>
        <v>40299</v>
      </c>
      <c r="B302" s="31" t="s">
        <v>521</v>
      </c>
      <c r="C302" s="127" t="str">
        <f>IF(TB_IO!D1&lt;5,"N/A",IF('16 bit registers'!D379=""," ",'16 bit registers'!D379))</f>
        <v>N/A</v>
      </c>
      <c r="D302" s="127" t="str">
        <f>IF(TB_IO!D1&lt;5,"N/A",IF('16 bit registers'!E379=""," ",'16 bit registers'!E379))</f>
        <v>N/A</v>
      </c>
      <c r="E302" s="127" t="str">
        <f>IF('16 bit registers'!F379=""," ",'16 bit registers'!F379)</f>
        <v xml:space="preserve"> </v>
      </c>
      <c r="F302" s="127" t="str">
        <f>IF('16 bit registers'!G379=""," ",'16 bit registers'!G379)</f>
        <v xml:space="preserve"> </v>
      </c>
    </row>
    <row r="303" spans="1:6" x14ac:dyDescent="0.2">
      <c r="A303" s="30">
        <f t="shared" si="4"/>
        <v>40300</v>
      </c>
      <c r="B303" s="31" t="s">
        <v>522</v>
      </c>
      <c r="C303" s="128"/>
      <c r="D303" s="128"/>
      <c r="E303" s="128"/>
      <c r="F303" s="128"/>
    </row>
    <row r="304" spans="1:6" x14ac:dyDescent="0.2">
      <c r="A304" s="30">
        <f t="shared" si="4"/>
        <v>40301</v>
      </c>
      <c r="B304" s="31" t="s">
        <v>523</v>
      </c>
      <c r="C304" s="127" t="str">
        <f>IF(TB_IO!D1&lt;5,"N/A",IF('16 bit registers'!D380=""," ",'16 bit registers'!D380))</f>
        <v>N/A</v>
      </c>
      <c r="D304" s="127" t="str">
        <f>IF(TB_IO!D1&lt;5,"N/A",IF('16 bit registers'!E380=""," ",'16 bit registers'!E380))</f>
        <v>N/A</v>
      </c>
      <c r="E304" s="127" t="str">
        <f>IF('16 bit registers'!F380=""," ",'16 bit registers'!F380)</f>
        <v xml:space="preserve"> </v>
      </c>
      <c r="F304" s="127" t="str">
        <f>IF('16 bit registers'!G380=""," ",'16 bit registers'!G380)</f>
        <v xml:space="preserve"> </v>
      </c>
    </row>
    <row r="305" spans="1:6" x14ac:dyDescent="0.2">
      <c r="A305" s="30">
        <f t="shared" si="4"/>
        <v>40302</v>
      </c>
      <c r="B305" s="31" t="s">
        <v>524</v>
      </c>
      <c r="C305" s="128"/>
      <c r="D305" s="128"/>
      <c r="E305" s="128"/>
      <c r="F305" s="128"/>
    </row>
    <row r="306" spans="1:6" x14ac:dyDescent="0.2">
      <c r="A306" s="30">
        <f t="shared" si="4"/>
        <v>40303</v>
      </c>
      <c r="B306" s="31" t="s">
        <v>525</v>
      </c>
      <c r="C306" s="127" t="str">
        <f>IF(TB_IO!D1&lt;5,"N/A",IF('16 bit registers'!D381=""," ",'16 bit registers'!D381))</f>
        <v>N/A</v>
      </c>
      <c r="D306" s="127" t="str">
        <f>IF(TB_IO!D1&lt;5,"N/A",IF('16 bit registers'!E381=""," ",'16 bit registers'!E381))</f>
        <v>N/A</v>
      </c>
      <c r="E306" s="127" t="str">
        <f>IF('16 bit registers'!F381=""," ",'16 bit registers'!F381)</f>
        <v xml:space="preserve"> </v>
      </c>
      <c r="F306" s="127" t="str">
        <f>IF('16 bit registers'!G381=""," ",'16 bit registers'!G381)</f>
        <v xml:space="preserve"> </v>
      </c>
    </row>
    <row r="307" spans="1:6" x14ac:dyDescent="0.2">
      <c r="A307" s="30">
        <f t="shared" si="4"/>
        <v>40304</v>
      </c>
      <c r="B307" s="31" t="s">
        <v>526</v>
      </c>
      <c r="C307" s="128"/>
      <c r="D307" s="128"/>
      <c r="E307" s="128"/>
      <c r="F307" s="128"/>
    </row>
    <row r="308" spans="1:6" x14ac:dyDescent="0.2">
      <c r="A308" s="30">
        <f t="shared" si="4"/>
        <v>40305</v>
      </c>
      <c r="B308" s="31" t="s">
        <v>527</v>
      </c>
      <c r="C308" s="127" t="str">
        <f>IF(TB_IO!D1&lt;5,"N/A",IF('16 bit registers'!D382=""," ",'16 bit registers'!D382))</f>
        <v>N/A</v>
      </c>
      <c r="D308" s="127" t="str">
        <f>IF(TB_IO!D1&lt;5,"N/A",IF('16 bit registers'!E382=""," ",'16 bit registers'!E382))</f>
        <v>N/A</v>
      </c>
      <c r="E308" s="127" t="str">
        <f>IF('16 bit registers'!F382=""," ",'16 bit registers'!F382)</f>
        <v xml:space="preserve"> </v>
      </c>
      <c r="F308" s="127" t="str">
        <f>IF('16 bit registers'!G382=""," ",'16 bit registers'!G382)</f>
        <v xml:space="preserve"> </v>
      </c>
    </row>
    <row r="309" spans="1:6" x14ac:dyDescent="0.2">
      <c r="A309" s="30">
        <f t="shared" si="4"/>
        <v>40306</v>
      </c>
      <c r="B309" s="31" t="s">
        <v>528</v>
      </c>
      <c r="C309" s="128"/>
      <c r="D309" s="128"/>
      <c r="E309" s="128"/>
      <c r="F309" s="128"/>
    </row>
    <row r="310" spans="1:6" x14ac:dyDescent="0.2">
      <c r="A310" s="30">
        <f t="shared" si="4"/>
        <v>40307</v>
      </c>
      <c r="B310" s="31" t="s">
        <v>529</v>
      </c>
      <c r="C310" s="127" t="str">
        <f>IF(TB_IO!D1&lt;5,"N/A",IF('16 bit registers'!D383=""," ",'16 bit registers'!D383))</f>
        <v>N/A</v>
      </c>
      <c r="D310" s="127" t="str">
        <f>IF(TB_IO!D1&lt;5,"N/A",IF('16 bit registers'!E383=""," ",'16 bit registers'!E383))</f>
        <v>N/A</v>
      </c>
      <c r="E310" s="127" t="str">
        <f>IF('16 bit registers'!F383=""," ",'16 bit registers'!F383)</f>
        <v xml:space="preserve"> </v>
      </c>
      <c r="F310" s="127" t="str">
        <f>IF('16 bit registers'!G383=""," ",'16 bit registers'!G383)</f>
        <v xml:space="preserve"> </v>
      </c>
    </row>
    <row r="311" spans="1:6" x14ac:dyDescent="0.2">
      <c r="A311" s="30">
        <f t="shared" si="4"/>
        <v>40308</v>
      </c>
      <c r="B311" s="31" t="s">
        <v>530</v>
      </c>
      <c r="C311" s="128"/>
      <c r="D311" s="128"/>
      <c r="E311" s="128"/>
      <c r="F311" s="128"/>
    </row>
    <row r="312" spans="1:6" x14ac:dyDescent="0.2">
      <c r="A312" s="30">
        <f t="shared" si="4"/>
        <v>40309</v>
      </c>
      <c r="B312" s="31" t="s">
        <v>531</v>
      </c>
      <c r="C312" s="127" t="str">
        <f>IF(TB_IO!D1&lt;5,"N/A",IF('16 bit registers'!D384=""," ",'16 bit registers'!D384))</f>
        <v>N/A</v>
      </c>
      <c r="D312" s="127" t="str">
        <f>IF(TB_IO!D1&lt;5,"N/A",IF('16 bit registers'!E384=""," ",'16 bit registers'!E384))</f>
        <v>N/A</v>
      </c>
      <c r="E312" s="127" t="str">
        <f>IF('16 bit registers'!F384=""," ",'16 bit registers'!F384)</f>
        <v xml:space="preserve"> </v>
      </c>
      <c r="F312" s="127" t="str">
        <f>IF('16 bit registers'!G384=""," ",'16 bit registers'!G384)</f>
        <v xml:space="preserve"> </v>
      </c>
    </row>
    <row r="313" spans="1:6" x14ac:dyDescent="0.2">
      <c r="A313" s="30">
        <f t="shared" si="4"/>
        <v>40310</v>
      </c>
      <c r="B313" s="31" t="s">
        <v>532</v>
      </c>
      <c r="C313" s="128"/>
      <c r="D313" s="128"/>
      <c r="E313" s="128"/>
      <c r="F313" s="128"/>
    </row>
    <row r="314" spans="1:6" x14ac:dyDescent="0.2">
      <c r="A314" s="30">
        <f t="shared" si="4"/>
        <v>40311</v>
      </c>
      <c r="B314" s="31" t="s">
        <v>533</v>
      </c>
      <c r="C314" s="127" t="str">
        <f>IF(TB_IO!D1&lt;5,"N/A",IF('16 bit registers'!D385=""," ",'16 bit registers'!D385))</f>
        <v>N/A</v>
      </c>
      <c r="D314" s="127" t="str">
        <f>IF(TB_IO!D1&lt;5,"N/A",IF('16 bit registers'!E385=""," ",'16 bit registers'!E385))</f>
        <v>N/A</v>
      </c>
      <c r="E314" s="127" t="str">
        <f>IF('16 bit registers'!F385=""," ",'16 bit registers'!F385)</f>
        <v xml:space="preserve"> </v>
      </c>
      <c r="F314" s="127" t="str">
        <f>IF('16 bit registers'!G385=""," ",'16 bit registers'!G385)</f>
        <v xml:space="preserve"> </v>
      </c>
    </row>
    <row r="315" spans="1:6" x14ac:dyDescent="0.2">
      <c r="A315" s="30">
        <f t="shared" si="4"/>
        <v>40312</v>
      </c>
      <c r="B315" s="31" t="s">
        <v>534</v>
      </c>
      <c r="C315" s="128"/>
      <c r="D315" s="128"/>
      <c r="E315" s="128"/>
      <c r="F315" s="128"/>
    </row>
    <row r="316" spans="1:6" x14ac:dyDescent="0.2">
      <c r="A316" s="30">
        <f t="shared" si="4"/>
        <v>40313</v>
      </c>
      <c r="B316" s="31" t="s">
        <v>535</v>
      </c>
      <c r="C316" s="127" t="str">
        <f>IF(TB_IO!D1&lt;5,"N/A",IF('16 bit registers'!D386=""," ",'16 bit registers'!D386))</f>
        <v>N/A</v>
      </c>
      <c r="D316" s="127" t="str">
        <f>IF(TB_IO!D1&lt;5,"N/A",IF('16 bit registers'!E386=""," ",'16 bit registers'!E386))</f>
        <v>N/A</v>
      </c>
      <c r="E316" s="127" t="str">
        <f>IF('16 bit registers'!F386=""," ",'16 bit registers'!F386)</f>
        <v xml:space="preserve"> </v>
      </c>
      <c r="F316" s="127" t="str">
        <f>IF('16 bit registers'!G386=""," ",'16 bit registers'!G386)</f>
        <v xml:space="preserve"> </v>
      </c>
    </row>
    <row r="317" spans="1:6" x14ac:dyDescent="0.2">
      <c r="A317" s="30">
        <f t="shared" si="4"/>
        <v>40314</v>
      </c>
      <c r="B317" s="31" t="s">
        <v>536</v>
      </c>
      <c r="C317" s="128"/>
      <c r="D317" s="128"/>
      <c r="E317" s="128"/>
      <c r="F317" s="128"/>
    </row>
    <row r="318" spans="1:6" x14ac:dyDescent="0.2">
      <c r="A318" s="30">
        <f t="shared" si="4"/>
        <v>40315</v>
      </c>
      <c r="B318" s="31" t="s">
        <v>537</v>
      </c>
      <c r="C318" s="127" t="str">
        <f>IF(TB_IO!D1&lt;5,"N/A",IF('16 bit registers'!D387=""," ",'16 bit registers'!D387))</f>
        <v>N/A</v>
      </c>
      <c r="D318" s="127" t="str">
        <f>IF(TB_IO!D1&lt;5,"N/A",IF('16 bit registers'!E387=""," ",'16 bit registers'!E387))</f>
        <v>N/A</v>
      </c>
      <c r="E318" s="127" t="str">
        <f>IF('16 bit registers'!F387=""," ",'16 bit registers'!F387)</f>
        <v xml:space="preserve"> </v>
      </c>
      <c r="F318" s="127" t="str">
        <f>IF('16 bit registers'!G387=""," ",'16 bit registers'!G387)</f>
        <v xml:space="preserve"> </v>
      </c>
    </row>
    <row r="319" spans="1:6" x14ac:dyDescent="0.2">
      <c r="A319" s="30">
        <f t="shared" si="4"/>
        <v>40316</v>
      </c>
      <c r="B319" s="31" t="s">
        <v>538</v>
      </c>
      <c r="C319" s="128"/>
      <c r="D319" s="128"/>
      <c r="E319" s="128"/>
      <c r="F319" s="128"/>
    </row>
    <row r="320" spans="1:6" x14ac:dyDescent="0.2">
      <c r="A320" s="30">
        <f t="shared" si="4"/>
        <v>40317</v>
      </c>
      <c r="B320" s="31" t="s">
        <v>539</v>
      </c>
      <c r="C320" s="127" t="str">
        <f>IF(TB_IO!D1&lt;5,"N/A",IF('16 bit registers'!D388=""," ",'16 bit registers'!D388))</f>
        <v>N/A</v>
      </c>
      <c r="D320" s="127" t="str">
        <f>IF(TB_IO!D1&lt;5,"N/A",IF('16 bit registers'!E388=""," ",'16 bit registers'!E388))</f>
        <v>N/A</v>
      </c>
      <c r="E320" s="127" t="str">
        <f>IF('16 bit registers'!F388=""," ",'16 bit registers'!F388)</f>
        <v xml:space="preserve"> </v>
      </c>
      <c r="F320" s="127" t="str">
        <f>IF('16 bit registers'!G388=""," ",'16 bit registers'!G388)</f>
        <v xml:space="preserve"> </v>
      </c>
    </row>
    <row r="321" spans="1:6" x14ac:dyDescent="0.2">
      <c r="A321" s="30">
        <f t="shared" si="4"/>
        <v>40318</v>
      </c>
      <c r="B321" s="31" t="s">
        <v>540</v>
      </c>
      <c r="C321" s="128"/>
      <c r="D321" s="128"/>
      <c r="E321" s="128"/>
      <c r="F321" s="128"/>
    </row>
    <row r="322" spans="1:6" x14ac:dyDescent="0.2">
      <c r="A322" s="30">
        <f t="shared" si="4"/>
        <v>40319</v>
      </c>
      <c r="B322" s="31" t="s">
        <v>541</v>
      </c>
      <c r="C322" s="127" t="str">
        <f>IF(TB_IO!D1&lt;5,"N/A",IF('16 bit registers'!D389=""," ",'16 bit registers'!D389))</f>
        <v>N/A</v>
      </c>
      <c r="D322" s="127" t="str">
        <f>IF(TB_IO!D1&lt;5,"N/A",IF('16 bit registers'!E389=""," ",'16 bit registers'!E389))</f>
        <v>N/A</v>
      </c>
      <c r="E322" s="127" t="str">
        <f>IF('16 bit registers'!F389=""," ",'16 bit registers'!F389)</f>
        <v xml:space="preserve"> </v>
      </c>
      <c r="F322" s="127" t="str">
        <f>IF('16 bit registers'!G389=""," ",'16 bit registers'!G389)</f>
        <v xml:space="preserve"> </v>
      </c>
    </row>
    <row r="323" spans="1:6" x14ac:dyDescent="0.2">
      <c r="A323" s="30">
        <f t="shared" si="4"/>
        <v>40320</v>
      </c>
      <c r="B323" s="31" t="s">
        <v>542</v>
      </c>
      <c r="C323" s="128"/>
      <c r="D323" s="128"/>
      <c r="E323" s="128"/>
      <c r="F323" s="128"/>
    </row>
    <row r="324" spans="1:6" x14ac:dyDescent="0.2">
      <c r="A324" s="32">
        <v>40399</v>
      </c>
      <c r="B324" s="33"/>
    </row>
    <row r="325" spans="1:6" ht="15.75" thickBot="1" x14ac:dyDescent="0.25">
      <c r="A325" s="32"/>
      <c r="B325" s="34" t="s">
        <v>543</v>
      </c>
      <c r="C325" s="35"/>
    </row>
    <row r="326" spans="1:6" ht="15.75" thickTop="1" x14ac:dyDescent="0.2">
      <c r="A326" s="32" t="str">
        <f>CONCATENATE(40400 + (ROW()-325) * 2,":",40401 + (ROW()-325)* 2)</f>
        <v>40402:40403</v>
      </c>
      <c r="B326" s="33" t="s">
        <v>544</v>
      </c>
      <c r="C326" s="126" t="s">
        <v>1001</v>
      </c>
    </row>
    <row r="327" spans="1:6" x14ac:dyDescent="0.2">
      <c r="A327" s="32" t="str">
        <f>CONCATENATE(40400 + (ROW()-325) * 2,":",40401 + (ROW()-325)* 2)</f>
        <v>40404:40405</v>
      </c>
      <c r="B327" s="33" t="s">
        <v>545</v>
      </c>
      <c r="C327" s="126"/>
    </row>
    <row r="328" spans="1:6" x14ac:dyDescent="0.2">
      <c r="A328" s="32" t="str">
        <f t="shared" ref="A328:A337" si="5">CONCATENATE(40400 + (ROW()-325) * 2,":",40401 + (ROW()-325)* 2)</f>
        <v>40406:40407</v>
      </c>
      <c r="B328" s="33" t="s">
        <v>546</v>
      </c>
      <c r="C328" s="126"/>
    </row>
    <row r="329" spans="1:6" x14ac:dyDescent="0.2">
      <c r="A329" s="32" t="str">
        <f t="shared" si="5"/>
        <v>40408:40409</v>
      </c>
      <c r="B329" s="33" t="s">
        <v>547</v>
      </c>
      <c r="C329" s="126"/>
    </row>
    <row r="330" spans="1:6" x14ac:dyDescent="0.2">
      <c r="A330" s="32" t="str">
        <f t="shared" si="5"/>
        <v>40410:40411</v>
      </c>
      <c r="B330" s="33" t="s">
        <v>548</v>
      </c>
      <c r="C330" s="126"/>
    </row>
    <row r="331" spans="1:6" x14ac:dyDescent="0.2">
      <c r="A331" s="32" t="str">
        <f t="shared" si="5"/>
        <v>40412:40413</v>
      </c>
      <c r="B331" s="33" t="s">
        <v>549</v>
      </c>
      <c r="C331" s="126"/>
    </row>
    <row r="332" spans="1:6" x14ac:dyDescent="0.2">
      <c r="A332" s="32" t="str">
        <f t="shared" si="5"/>
        <v>40414:40415</v>
      </c>
      <c r="B332" s="33" t="s">
        <v>550</v>
      </c>
      <c r="C332" s="126"/>
    </row>
    <row r="333" spans="1:6" x14ac:dyDescent="0.2">
      <c r="A333" s="32" t="str">
        <f t="shared" si="5"/>
        <v>40416:40417</v>
      </c>
      <c r="B333" s="33" t="s">
        <v>551</v>
      </c>
      <c r="C333" s="126"/>
    </row>
    <row r="334" spans="1:6" x14ac:dyDescent="0.2">
      <c r="A334" s="32" t="str">
        <f t="shared" si="5"/>
        <v>40418:40419</v>
      </c>
      <c r="B334" s="33" t="s">
        <v>552</v>
      </c>
      <c r="C334" s="126"/>
    </row>
    <row r="335" spans="1:6" x14ac:dyDescent="0.2">
      <c r="A335" s="32" t="str">
        <f t="shared" si="5"/>
        <v>40420:40421</v>
      </c>
      <c r="B335" s="33" t="s">
        <v>553</v>
      </c>
      <c r="C335" s="126"/>
    </row>
    <row r="336" spans="1:6" x14ac:dyDescent="0.2">
      <c r="A336" s="32" t="str">
        <f t="shared" si="5"/>
        <v>40422:40423</v>
      </c>
      <c r="B336" s="33" t="s">
        <v>554</v>
      </c>
      <c r="C336" s="126"/>
    </row>
    <row r="337" spans="1:3" x14ac:dyDescent="0.2">
      <c r="A337" s="32" t="str">
        <f t="shared" si="5"/>
        <v>40424:40425</v>
      </c>
      <c r="B337" s="33" t="s">
        <v>555</v>
      </c>
      <c r="C337" s="126"/>
    </row>
    <row r="338" spans="1:3" x14ac:dyDescent="0.2">
      <c r="A338" s="32"/>
      <c r="B338" s="33"/>
    </row>
    <row r="339" spans="1:3" ht="15.75" thickBot="1" x14ac:dyDescent="0.25">
      <c r="A339" s="32"/>
      <c r="B339" s="34" t="s">
        <v>556</v>
      </c>
      <c r="C339" s="35"/>
    </row>
    <row r="340" spans="1:3" ht="15.75" thickTop="1" x14ac:dyDescent="0.2">
      <c r="A340" s="32" t="str">
        <f>CONCATENATE(40430 + (ROW()-339) * 2,":",40431 + (ROW()-339)* 2)</f>
        <v>40432:40433</v>
      </c>
      <c r="B340" s="33" t="s">
        <v>544</v>
      </c>
      <c r="C340" s="126" t="s">
        <v>1001</v>
      </c>
    </row>
    <row r="341" spans="1:3" x14ac:dyDescent="0.2">
      <c r="A341" s="32" t="str">
        <f t="shared" ref="A341:A351" si="6">CONCATENATE(40430 + (ROW()-339) * 2,":",40431 + (ROW()-339)* 2)</f>
        <v>40434:40435</v>
      </c>
      <c r="B341" s="33" t="s">
        <v>545</v>
      </c>
      <c r="C341" s="126"/>
    </row>
    <row r="342" spans="1:3" x14ac:dyDescent="0.2">
      <c r="A342" s="32" t="str">
        <f t="shared" si="6"/>
        <v>40436:40437</v>
      </c>
      <c r="B342" s="33" t="s">
        <v>546</v>
      </c>
      <c r="C342" s="126"/>
    </row>
    <row r="343" spans="1:3" x14ac:dyDescent="0.2">
      <c r="A343" s="32" t="str">
        <f t="shared" si="6"/>
        <v>40438:40439</v>
      </c>
      <c r="B343" s="33" t="s">
        <v>547</v>
      </c>
      <c r="C343" s="126"/>
    </row>
    <row r="344" spans="1:3" x14ac:dyDescent="0.2">
      <c r="A344" s="32" t="str">
        <f t="shared" si="6"/>
        <v>40440:40441</v>
      </c>
      <c r="B344" s="33" t="s">
        <v>548</v>
      </c>
      <c r="C344" s="126"/>
    </row>
    <row r="345" spans="1:3" x14ac:dyDescent="0.2">
      <c r="A345" s="32" t="str">
        <f t="shared" si="6"/>
        <v>40442:40443</v>
      </c>
      <c r="B345" s="33" t="s">
        <v>549</v>
      </c>
      <c r="C345" s="126"/>
    </row>
    <row r="346" spans="1:3" x14ac:dyDescent="0.2">
      <c r="A346" s="32" t="str">
        <f t="shared" si="6"/>
        <v>40444:40445</v>
      </c>
      <c r="B346" s="33" t="s">
        <v>550</v>
      </c>
      <c r="C346" s="126"/>
    </row>
    <row r="347" spans="1:3" x14ac:dyDescent="0.2">
      <c r="A347" s="32" t="str">
        <f t="shared" si="6"/>
        <v>40446:40447</v>
      </c>
      <c r="B347" s="33" t="s">
        <v>551</v>
      </c>
      <c r="C347" s="126"/>
    </row>
    <row r="348" spans="1:3" x14ac:dyDescent="0.2">
      <c r="A348" s="32" t="str">
        <f t="shared" si="6"/>
        <v>40448:40449</v>
      </c>
      <c r="B348" s="33" t="s">
        <v>552</v>
      </c>
      <c r="C348" s="126"/>
    </row>
    <row r="349" spans="1:3" x14ac:dyDescent="0.2">
      <c r="A349" s="32" t="str">
        <f t="shared" si="6"/>
        <v>40450:40451</v>
      </c>
      <c r="B349" s="33" t="s">
        <v>553</v>
      </c>
      <c r="C349" s="126"/>
    </row>
    <row r="350" spans="1:3" x14ac:dyDescent="0.2">
      <c r="A350" s="32" t="str">
        <f t="shared" si="6"/>
        <v>40452:40453</v>
      </c>
      <c r="B350" s="33" t="s">
        <v>554</v>
      </c>
      <c r="C350" s="126"/>
    </row>
    <row r="351" spans="1:3" x14ac:dyDescent="0.2">
      <c r="A351" s="32" t="str">
        <f t="shared" si="6"/>
        <v>40454:40455</v>
      </c>
      <c r="B351" s="33" t="s">
        <v>555</v>
      </c>
      <c r="C351" s="126"/>
    </row>
    <row r="352" spans="1:3" x14ac:dyDescent="0.2">
      <c r="A352" s="32"/>
      <c r="B352" s="33"/>
    </row>
    <row r="353" spans="1:3" ht="15.75" thickBot="1" x14ac:dyDescent="0.25">
      <c r="A353" s="32"/>
      <c r="B353" s="34" t="s">
        <v>557</v>
      </c>
      <c r="C353" s="5"/>
    </row>
    <row r="354" spans="1:3" ht="15.75" thickTop="1" x14ac:dyDescent="0.2">
      <c r="A354" s="32" t="str">
        <f>CONCATENATE(40460 + (ROW()-353) * 2,":",40461 + (ROW()-353)* 2)</f>
        <v>40462:40463</v>
      </c>
      <c r="B354" s="33" t="s">
        <v>544</v>
      </c>
      <c r="C354" s="126" t="s">
        <v>1001</v>
      </c>
    </row>
    <row r="355" spans="1:3" x14ac:dyDescent="0.2">
      <c r="A355" s="32" t="str">
        <f t="shared" ref="A355:A365" si="7">CONCATENATE(40460 + (ROW()-353) * 2,":",40461 + (ROW()-353)* 2)</f>
        <v>40464:40465</v>
      </c>
      <c r="B355" s="33" t="s">
        <v>545</v>
      </c>
      <c r="C355" s="126"/>
    </row>
    <row r="356" spans="1:3" x14ac:dyDescent="0.2">
      <c r="A356" s="32" t="str">
        <f t="shared" si="7"/>
        <v>40466:40467</v>
      </c>
      <c r="B356" s="33" t="s">
        <v>546</v>
      </c>
      <c r="C356" s="126"/>
    </row>
    <row r="357" spans="1:3" x14ac:dyDescent="0.2">
      <c r="A357" s="32" t="str">
        <f t="shared" si="7"/>
        <v>40468:40469</v>
      </c>
      <c r="B357" s="33" t="s">
        <v>547</v>
      </c>
      <c r="C357" s="126"/>
    </row>
    <row r="358" spans="1:3" x14ac:dyDescent="0.2">
      <c r="A358" s="32" t="str">
        <f t="shared" si="7"/>
        <v>40470:40471</v>
      </c>
      <c r="B358" s="33" t="s">
        <v>548</v>
      </c>
      <c r="C358" s="126"/>
    </row>
    <row r="359" spans="1:3" x14ac:dyDescent="0.2">
      <c r="A359" s="32" t="str">
        <f t="shared" si="7"/>
        <v>40472:40473</v>
      </c>
      <c r="B359" s="33" t="s">
        <v>549</v>
      </c>
      <c r="C359" s="126"/>
    </row>
    <row r="360" spans="1:3" x14ac:dyDescent="0.2">
      <c r="A360" s="32" t="str">
        <f t="shared" si="7"/>
        <v>40474:40475</v>
      </c>
      <c r="B360" s="33" t="s">
        <v>550</v>
      </c>
      <c r="C360" s="126"/>
    </row>
    <row r="361" spans="1:3" x14ac:dyDescent="0.2">
      <c r="A361" s="32" t="str">
        <f t="shared" si="7"/>
        <v>40476:40477</v>
      </c>
      <c r="B361" s="33" t="s">
        <v>551</v>
      </c>
      <c r="C361" s="126"/>
    </row>
    <row r="362" spans="1:3" x14ac:dyDescent="0.2">
      <c r="A362" s="32" t="str">
        <f t="shared" si="7"/>
        <v>40478:40479</v>
      </c>
      <c r="B362" s="33" t="s">
        <v>552</v>
      </c>
      <c r="C362" s="126"/>
    </row>
    <row r="363" spans="1:3" x14ac:dyDescent="0.2">
      <c r="A363" s="32" t="str">
        <f t="shared" si="7"/>
        <v>40480:40481</v>
      </c>
      <c r="B363" s="33" t="s">
        <v>553</v>
      </c>
      <c r="C363" s="126"/>
    </row>
    <row r="364" spans="1:3" x14ac:dyDescent="0.2">
      <c r="A364" s="32" t="str">
        <f t="shared" si="7"/>
        <v>40482:40483</v>
      </c>
      <c r="B364" s="33" t="s">
        <v>554</v>
      </c>
      <c r="C364" s="126"/>
    </row>
    <row r="365" spans="1:3" x14ac:dyDescent="0.2">
      <c r="A365" s="32" t="str">
        <f t="shared" si="7"/>
        <v>40484:40485</v>
      </c>
      <c r="B365" s="33" t="s">
        <v>555</v>
      </c>
      <c r="C365" s="126"/>
    </row>
    <row r="366" spans="1:3" x14ac:dyDescent="0.2">
      <c r="A366" s="32"/>
      <c r="B366" s="33"/>
    </row>
    <row r="367" spans="1:3" ht="15.75" thickBot="1" x14ac:dyDescent="0.25">
      <c r="A367" s="32"/>
      <c r="B367" s="34" t="s">
        <v>558</v>
      </c>
      <c r="C367" s="5"/>
    </row>
    <row r="368" spans="1:3" ht="15.75" thickTop="1" x14ac:dyDescent="0.2">
      <c r="A368" s="32" t="str">
        <f>CONCATENATE(40490 + (ROW()-367) * 2,":",40491 + (ROW()-367)* 2)</f>
        <v>40492:40493</v>
      </c>
      <c r="B368" s="33" t="s">
        <v>544</v>
      </c>
      <c r="C368" s="126" t="s">
        <v>1001</v>
      </c>
    </row>
    <row r="369" spans="1:3" x14ac:dyDescent="0.2">
      <c r="A369" s="32" t="str">
        <f t="shared" ref="A369:A379" si="8">CONCATENATE(40490 + (ROW()-367) * 2,":",40491 + (ROW()-367)* 2)</f>
        <v>40494:40495</v>
      </c>
      <c r="B369" s="33" t="s">
        <v>545</v>
      </c>
      <c r="C369" s="126"/>
    </row>
    <row r="370" spans="1:3" x14ac:dyDescent="0.2">
      <c r="A370" s="32" t="str">
        <f t="shared" si="8"/>
        <v>40496:40497</v>
      </c>
      <c r="B370" s="33" t="s">
        <v>546</v>
      </c>
      <c r="C370" s="126"/>
    </row>
    <row r="371" spans="1:3" x14ac:dyDescent="0.2">
      <c r="A371" s="32" t="str">
        <f t="shared" si="8"/>
        <v>40498:40499</v>
      </c>
      <c r="B371" s="33" t="s">
        <v>547</v>
      </c>
      <c r="C371" s="126"/>
    </row>
    <row r="372" spans="1:3" x14ac:dyDescent="0.2">
      <c r="A372" s="32" t="str">
        <f t="shared" si="8"/>
        <v>40500:40501</v>
      </c>
      <c r="B372" s="33" t="s">
        <v>548</v>
      </c>
      <c r="C372" s="126"/>
    </row>
    <row r="373" spans="1:3" x14ac:dyDescent="0.2">
      <c r="A373" s="32" t="str">
        <f t="shared" si="8"/>
        <v>40502:40503</v>
      </c>
      <c r="B373" s="33" t="s">
        <v>549</v>
      </c>
      <c r="C373" s="126"/>
    </row>
    <row r="374" spans="1:3" x14ac:dyDescent="0.2">
      <c r="A374" s="32" t="str">
        <f t="shared" si="8"/>
        <v>40504:40505</v>
      </c>
      <c r="B374" s="33" t="s">
        <v>550</v>
      </c>
      <c r="C374" s="126"/>
    </row>
    <row r="375" spans="1:3" x14ac:dyDescent="0.2">
      <c r="A375" s="32" t="str">
        <f t="shared" si="8"/>
        <v>40506:40507</v>
      </c>
      <c r="B375" s="33" t="s">
        <v>551</v>
      </c>
      <c r="C375" s="126"/>
    </row>
    <row r="376" spans="1:3" x14ac:dyDescent="0.2">
      <c r="A376" s="32" t="str">
        <f t="shared" si="8"/>
        <v>40508:40509</v>
      </c>
      <c r="B376" s="33" t="s">
        <v>552</v>
      </c>
      <c r="C376" s="126"/>
    </row>
    <row r="377" spans="1:3" x14ac:dyDescent="0.2">
      <c r="A377" s="32" t="str">
        <f t="shared" si="8"/>
        <v>40510:40511</v>
      </c>
      <c r="B377" s="33" t="s">
        <v>553</v>
      </c>
      <c r="C377" s="126"/>
    </row>
    <row r="378" spans="1:3" x14ac:dyDescent="0.2">
      <c r="A378" s="32" t="str">
        <f t="shared" si="8"/>
        <v>40512:40513</v>
      </c>
      <c r="B378" s="33" t="s">
        <v>554</v>
      </c>
      <c r="C378" s="126"/>
    </row>
    <row r="379" spans="1:3" x14ac:dyDescent="0.2">
      <c r="A379" s="32" t="str">
        <f t="shared" si="8"/>
        <v>40514:40515</v>
      </c>
      <c r="B379" s="33" t="s">
        <v>555</v>
      </c>
      <c r="C379" s="126"/>
    </row>
    <row r="380" spans="1:3" x14ac:dyDescent="0.2">
      <c r="A380" s="32"/>
      <c r="B380" s="33"/>
    </row>
    <row r="381" spans="1:3" ht="15.75" thickBot="1" x14ac:dyDescent="0.25">
      <c r="A381" s="32"/>
      <c r="B381" s="34" t="s">
        <v>559</v>
      </c>
      <c r="C381" s="5"/>
    </row>
    <row r="382" spans="1:3" ht="15.75" thickTop="1" x14ac:dyDescent="0.2">
      <c r="A382" s="32" t="str">
        <f>CONCATENATE(40520 + (ROW()-381) * 2,":",40521 + (ROW()-381)* 2)</f>
        <v>40522:40523</v>
      </c>
      <c r="B382" s="33" t="s">
        <v>544</v>
      </c>
      <c r="C382" s="126" t="s">
        <v>1001</v>
      </c>
    </row>
    <row r="383" spans="1:3" x14ac:dyDescent="0.2">
      <c r="A383" s="32" t="str">
        <f t="shared" ref="A383:A393" si="9">CONCATENATE(40520 + (ROW()-381) * 2,":",40521 + (ROW()-381)* 2)</f>
        <v>40524:40525</v>
      </c>
      <c r="B383" s="33" t="s">
        <v>545</v>
      </c>
      <c r="C383" s="126"/>
    </row>
    <row r="384" spans="1:3" x14ac:dyDescent="0.2">
      <c r="A384" s="32" t="str">
        <f t="shared" si="9"/>
        <v>40526:40527</v>
      </c>
      <c r="B384" s="33" t="s">
        <v>546</v>
      </c>
      <c r="C384" s="126"/>
    </row>
    <row r="385" spans="1:3" x14ac:dyDescent="0.2">
      <c r="A385" s="32" t="str">
        <f t="shared" si="9"/>
        <v>40528:40529</v>
      </c>
      <c r="B385" s="33" t="s">
        <v>547</v>
      </c>
      <c r="C385" s="126"/>
    </row>
    <row r="386" spans="1:3" x14ac:dyDescent="0.2">
      <c r="A386" s="32" t="str">
        <f t="shared" si="9"/>
        <v>40530:40531</v>
      </c>
      <c r="B386" s="33" t="s">
        <v>548</v>
      </c>
      <c r="C386" s="126"/>
    </row>
    <row r="387" spans="1:3" x14ac:dyDescent="0.2">
      <c r="A387" s="32" t="str">
        <f t="shared" si="9"/>
        <v>40532:40533</v>
      </c>
      <c r="B387" s="33" t="s">
        <v>549</v>
      </c>
      <c r="C387" s="126"/>
    </row>
    <row r="388" spans="1:3" x14ac:dyDescent="0.2">
      <c r="A388" s="32" t="str">
        <f t="shared" si="9"/>
        <v>40534:40535</v>
      </c>
      <c r="B388" s="33" t="s">
        <v>550</v>
      </c>
      <c r="C388" s="126"/>
    </row>
    <row r="389" spans="1:3" x14ac:dyDescent="0.2">
      <c r="A389" s="32" t="str">
        <f t="shared" si="9"/>
        <v>40536:40537</v>
      </c>
      <c r="B389" s="33" t="s">
        <v>551</v>
      </c>
      <c r="C389" s="126"/>
    </row>
    <row r="390" spans="1:3" x14ac:dyDescent="0.2">
      <c r="A390" s="32" t="str">
        <f t="shared" si="9"/>
        <v>40538:40539</v>
      </c>
      <c r="B390" s="33" t="s">
        <v>552</v>
      </c>
      <c r="C390" s="126"/>
    </row>
    <row r="391" spans="1:3" x14ac:dyDescent="0.2">
      <c r="A391" s="32" t="str">
        <f t="shared" si="9"/>
        <v>40540:40541</v>
      </c>
      <c r="B391" s="33" t="s">
        <v>553</v>
      </c>
      <c r="C391" s="126"/>
    </row>
    <row r="392" spans="1:3" x14ac:dyDescent="0.2">
      <c r="A392" s="32" t="str">
        <f t="shared" si="9"/>
        <v>40542:40543</v>
      </c>
      <c r="B392" s="33" t="s">
        <v>554</v>
      </c>
      <c r="C392" s="126"/>
    </row>
    <row r="393" spans="1:3" x14ac:dyDescent="0.2">
      <c r="A393" s="32" t="str">
        <f t="shared" si="9"/>
        <v>40544:40545</v>
      </c>
      <c r="B393" s="33" t="s">
        <v>555</v>
      </c>
      <c r="C393" s="126"/>
    </row>
    <row r="394" spans="1:3" x14ac:dyDescent="0.2">
      <c r="A394" s="32"/>
      <c r="B394" s="33"/>
    </row>
    <row r="395" spans="1:3" ht="15.75" thickBot="1" x14ac:dyDescent="0.25">
      <c r="A395" s="32"/>
      <c r="B395" s="34" t="s">
        <v>560</v>
      </c>
      <c r="C395" s="5"/>
    </row>
    <row r="396" spans="1:3" ht="15.75" thickTop="1" x14ac:dyDescent="0.2">
      <c r="A396" s="32" t="str">
        <f>CONCATENATE(40550 + (ROW()-395) * 2,":",40551 + (ROW()-395)* 2)</f>
        <v>40552:40553</v>
      </c>
      <c r="B396" s="33" t="s">
        <v>544</v>
      </c>
      <c r="C396" s="126" t="s">
        <v>1001</v>
      </c>
    </row>
    <row r="397" spans="1:3" x14ac:dyDescent="0.2">
      <c r="A397" s="32" t="str">
        <f t="shared" ref="A397:A407" si="10">CONCATENATE(40550 + (ROW()-395) * 2,":",40551 + (ROW()-395)* 2)</f>
        <v>40554:40555</v>
      </c>
      <c r="B397" s="33" t="s">
        <v>545</v>
      </c>
      <c r="C397" s="126"/>
    </row>
    <row r="398" spans="1:3" x14ac:dyDescent="0.2">
      <c r="A398" s="32" t="str">
        <f t="shared" si="10"/>
        <v>40556:40557</v>
      </c>
      <c r="B398" s="33" t="s">
        <v>546</v>
      </c>
      <c r="C398" s="126"/>
    </row>
    <row r="399" spans="1:3" x14ac:dyDescent="0.2">
      <c r="A399" s="32" t="str">
        <f t="shared" si="10"/>
        <v>40558:40559</v>
      </c>
      <c r="B399" s="33" t="s">
        <v>547</v>
      </c>
      <c r="C399" s="126"/>
    </row>
    <row r="400" spans="1:3" x14ac:dyDescent="0.2">
      <c r="A400" s="32" t="str">
        <f t="shared" si="10"/>
        <v>40560:40561</v>
      </c>
      <c r="B400" s="33" t="s">
        <v>548</v>
      </c>
      <c r="C400" s="126"/>
    </row>
    <row r="401" spans="1:3" x14ac:dyDescent="0.2">
      <c r="A401" s="32" t="str">
        <f t="shared" si="10"/>
        <v>40562:40563</v>
      </c>
      <c r="B401" s="33" t="s">
        <v>549</v>
      </c>
      <c r="C401" s="126"/>
    </row>
    <row r="402" spans="1:3" x14ac:dyDescent="0.2">
      <c r="A402" s="32" t="str">
        <f t="shared" si="10"/>
        <v>40564:40565</v>
      </c>
      <c r="B402" s="33" t="s">
        <v>550</v>
      </c>
      <c r="C402" s="126"/>
    </row>
    <row r="403" spans="1:3" x14ac:dyDescent="0.2">
      <c r="A403" s="32" t="str">
        <f t="shared" si="10"/>
        <v>40566:40567</v>
      </c>
      <c r="B403" s="33" t="s">
        <v>551</v>
      </c>
      <c r="C403" s="126"/>
    </row>
    <row r="404" spans="1:3" x14ac:dyDescent="0.2">
      <c r="A404" s="32" t="str">
        <f t="shared" si="10"/>
        <v>40568:40569</v>
      </c>
      <c r="B404" s="33" t="s">
        <v>552</v>
      </c>
      <c r="C404" s="126"/>
    </row>
    <row r="405" spans="1:3" x14ac:dyDescent="0.2">
      <c r="A405" s="32" t="str">
        <f t="shared" si="10"/>
        <v>40570:40571</v>
      </c>
      <c r="B405" s="33" t="s">
        <v>553</v>
      </c>
      <c r="C405" s="126"/>
    </row>
    <row r="406" spans="1:3" x14ac:dyDescent="0.2">
      <c r="A406" s="32" t="str">
        <f t="shared" si="10"/>
        <v>40572:40573</v>
      </c>
      <c r="B406" s="33" t="s">
        <v>554</v>
      </c>
      <c r="C406" s="126"/>
    </row>
    <row r="407" spans="1:3" x14ac:dyDescent="0.2">
      <c r="A407" s="32" t="str">
        <f t="shared" si="10"/>
        <v>40574:40575</v>
      </c>
      <c r="B407" s="33" t="s">
        <v>555</v>
      </c>
      <c r="C407" s="126"/>
    </row>
    <row r="408" spans="1:3" x14ac:dyDescent="0.2">
      <c r="A408" s="32"/>
      <c r="B408" s="33"/>
    </row>
    <row r="409" spans="1:3" ht="15.75" thickBot="1" x14ac:dyDescent="0.25">
      <c r="A409" s="32"/>
      <c r="B409" s="34" t="s">
        <v>561</v>
      </c>
      <c r="C409" s="5"/>
    </row>
    <row r="410" spans="1:3" ht="15.75" thickTop="1" x14ac:dyDescent="0.2">
      <c r="A410" s="32" t="str">
        <f>CONCATENATE(40580 + (ROW()-409) * 2,":",40581 + (ROW()-409)* 2)</f>
        <v>40582:40583</v>
      </c>
      <c r="B410" s="33" t="s">
        <v>544</v>
      </c>
      <c r="C410" s="126" t="s">
        <v>1001</v>
      </c>
    </row>
    <row r="411" spans="1:3" x14ac:dyDescent="0.2">
      <c r="A411" s="32" t="str">
        <f t="shared" ref="A411:A421" si="11">CONCATENATE(40580 + (ROW()-409) * 2,":",40581 + (ROW()-409)* 2)</f>
        <v>40584:40585</v>
      </c>
      <c r="B411" s="33" t="s">
        <v>545</v>
      </c>
      <c r="C411" s="126"/>
    </row>
    <row r="412" spans="1:3" x14ac:dyDescent="0.2">
      <c r="A412" s="32" t="str">
        <f t="shared" si="11"/>
        <v>40586:40587</v>
      </c>
      <c r="B412" s="33" t="s">
        <v>546</v>
      </c>
      <c r="C412" s="126"/>
    </row>
    <row r="413" spans="1:3" x14ac:dyDescent="0.2">
      <c r="A413" s="32" t="str">
        <f t="shared" si="11"/>
        <v>40588:40589</v>
      </c>
      <c r="B413" s="33" t="s">
        <v>547</v>
      </c>
      <c r="C413" s="126"/>
    </row>
    <row r="414" spans="1:3" x14ac:dyDescent="0.2">
      <c r="A414" s="32" t="str">
        <f t="shared" si="11"/>
        <v>40590:40591</v>
      </c>
      <c r="B414" s="33" t="s">
        <v>548</v>
      </c>
      <c r="C414" s="126"/>
    </row>
    <row r="415" spans="1:3" x14ac:dyDescent="0.2">
      <c r="A415" s="32" t="str">
        <f t="shared" si="11"/>
        <v>40592:40593</v>
      </c>
      <c r="B415" s="33" t="s">
        <v>549</v>
      </c>
      <c r="C415" s="126"/>
    </row>
    <row r="416" spans="1:3" x14ac:dyDescent="0.2">
      <c r="A416" s="32" t="str">
        <f t="shared" si="11"/>
        <v>40594:40595</v>
      </c>
      <c r="B416" s="33" t="s">
        <v>550</v>
      </c>
      <c r="C416" s="126"/>
    </row>
    <row r="417" spans="1:3" x14ac:dyDescent="0.2">
      <c r="A417" s="32" t="str">
        <f t="shared" si="11"/>
        <v>40596:40597</v>
      </c>
      <c r="B417" s="33" t="s">
        <v>551</v>
      </c>
      <c r="C417" s="126"/>
    </row>
    <row r="418" spans="1:3" x14ac:dyDescent="0.2">
      <c r="A418" s="32" t="str">
        <f t="shared" si="11"/>
        <v>40598:40599</v>
      </c>
      <c r="B418" s="33" t="s">
        <v>552</v>
      </c>
      <c r="C418" s="126"/>
    </row>
    <row r="419" spans="1:3" x14ac:dyDescent="0.2">
      <c r="A419" s="32" t="str">
        <f t="shared" si="11"/>
        <v>40600:40601</v>
      </c>
      <c r="B419" s="33" t="s">
        <v>553</v>
      </c>
      <c r="C419" s="126"/>
    </row>
    <row r="420" spans="1:3" x14ac:dyDescent="0.2">
      <c r="A420" s="32" t="str">
        <f t="shared" si="11"/>
        <v>40602:40603</v>
      </c>
      <c r="B420" s="33" t="s">
        <v>554</v>
      </c>
      <c r="C420" s="126"/>
    </row>
    <row r="421" spans="1:3" x14ac:dyDescent="0.2">
      <c r="A421" s="32" t="str">
        <f t="shared" si="11"/>
        <v>40604:40605</v>
      </c>
      <c r="B421" s="33" t="s">
        <v>555</v>
      </c>
      <c r="C421" s="126"/>
    </row>
    <row r="422" spans="1:3" x14ac:dyDescent="0.2">
      <c r="A422" s="32"/>
      <c r="B422" s="33"/>
    </row>
    <row r="423" spans="1:3" ht="15.75" thickBot="1" x14ac:dyDescent="0.25">
      <c r="A423" s="32"/>
      <c r="B423" s="34" t="s">
        <v>562</v>
      </c>
      <c r="C423" s="5"/>
    </row>
    <row r="424" spans="1:3" ht="15.75" thickTop="1" x14ac:dyDescent="0.2">
      <c r="A424" s="32" t="str">
        <f>CONCATENATE(40610 + (ROW()-423) * 2,":",40611 + (ROW()-423)* 2)</f>
        <v>40612:40613</v>
      </c>
      <c r="B424" s="33" t="s">
        <v>544</v>
      </c>
      <c r="C424" s="126" t="s">
        <v>1001</v>
      </c>
    </row>
    <row r="425" spans="1:3" x14ac:dyDescent="0.2">
      <c r="A425" s="32" t="str">
        <f t="shared" ref="A425:A435" si="12">CONCATENATE(40610 + (ROW()-423) * 2,":",40611 + (ROW()-423)* 2)</f>
        <v>40614:40615</v>
      </c>
      <c r="B425" s="33" t="s">
        <v>545</v>
      </c>
      <c r="C425" s="126"/>
    </row>
    <row r="426" spans="1:3" x14ac:dyDescent="0.2">
      <c r="A426" s="32" t="str">
        <f t="shared" si="12"/>
        <v>40616:40617</v>
      </c>
      <c r="B426" s="33" t="s">
        <v>546</v>
      </c>
      <c r="C426" s="126"/>
    </row>
    <row r="427" spans="1:3" x14ac:dyDescent="0.2">
      <c r="A427" s="32" t="str">
        <f t="shared" si="12"/>
        <v>40618:40619</v>
      </c>
      <c r="B427" s="33" t="s">
        <v>547</v>
      </c>
      <c r="C427" s="126"/>
    </row>
    <row r="428" spans="1:3" x14ac:dyDescent="0.2">
      <c r="A428" s="32" t="str">
        <f t="shared" si="12"/>
        <v>40620:40621</v>
      </c>
      <c r="B428" s="33" t="s">
        <v>548</v>
      </c>
      <c r="C428" s="126"/>
    </row>
    <row r="429" spans="1:3" x14ac:dyDescent="0.2">
      <c r="A429" s="32" t="str">
        <f t="shared" si="12"/>
        <v>40622:40623</v>
      </c>
      <c r="B429" s="33" t="s">
        <v>549</v>
      </c>
      <c r="C429" s="126"/>
    </row>
    <row r="430" spans="1:3" x14ac:dyDescent="0.2">
      <c r="A430" s="32" t="str">
        <f t="shared" si="12"/>
        <v>40624:40625</v>
      </c>
      <c r="B430" s="33" t="s">
        <v>550</v>
      </c>
      <c r="C430" s="126"/>
    </row>
    <row r="431" spans="1:3" x14ac:dyDescent="0.2">
      <c r="A431" s="32" t="str">
        <f t="shared" si="12"/>
        <v>40626:40627</v>
      </c>
      <c r="B431" s="33" t="s">
        <v>551</v>
      </c>
      <c r="C431" s="126"/>
    </row>
    <row r="432" spans="1:3" x14ac:dyDescent="0.2">
      <c r="A432" s="32" t="str">
        <f t="shared" si="12"/>
        <v>40628:40629</v>
      </c>
      <c r="B432" s="33" t="s">
        <v>552</v>
      </c>
      <c r="C432" s="126"/>
    </row>
    <row r="433" spans="1:3" x14ac:dyDescent="0.2">
      <c r="A433" s="32" t="str">
        <f t="shared" si="12"/>
        <v>40630:40631</v>
      </c>
      <c r="B433" s="33" t="s">
        <v>553</v>
      </c>
      <c r="C433" s="126"/>
    </row>
    <row r="434" spans="1:3" x14ac:dyDescent="0.2">
      <c r="A434" s="32" t="str">
        <f t="shared" si="12"/>
        <v>40632:40633</v>
      </c>
      <c r="B434" s="33" t="s">
        <v>554</v>
      </c>
      <c r="C434" s="126"/>
    </row>
    <row r="435" spans="1:3" x14ac:dyDescent="0.2">
      <c r="A435" s="32" t="str">
        <f t="shared" si="12"/>
        <v>40634:40635</v>
      </c>
      <c r="B435" s="33" t="s">
        <v>555</v>
      </c>
      <c r="C435" s="126"/>
    </row>
    <row r="436" spans="1:3" x14ac:dyDescent="0.2">
      <c r="A436" s="32"/>
      <c r="B436" s="33"/>
    </row>
    <row r="437" spans="1:3" ht="15.75" thickBot="1" x14ac:dyDescent="0.25">
      <c r="A437" s="32"/>
      <c r="B437" s="34" t="s">
        <v>563</v>
      </c>
      <c r="C437" s="5"/>
    </row>
    <row r="438" spans="1:3" ht="15.75" thickTop="1" x14ac:dyDescent="0.2">
      <c r="A438" s="32" t="str">
        <f>CONCATENATE(40640 + (ROW()-437) * 2,":",40641 + (ROW()-437)* 2)</f>
        <v>40642:40643</v>
      </c>
      <c r="B438" s="33" t="s">
        <v>544</v>
      </c>
      <c r="C438" s="126" t="s">
        <v>1001</v>
      </c>
    </row>
    <row r="439" spans="1:3" x14ac:dyDescent="0.2">
      <c r="A439" s="32" t="str">
        <f t="shared" ref="A439:A449" si="13">CONCATENATE(40640 + (ROW()-437) * 2,":",40641 + (ROW()-437)* 2)</f>
        <v>40644:40645</v>
      </c>
      <c r="B439" s="33" t="s">
        <v>545</v>
      </c>
      <c r="C439" s="126"/>
    </row>
    <row r="440" spans="1:3" x14ac:dyDescent="0.2">
      <c r="A440" s="32" t="str">
        <f t="shared" si="13"/>
        <v>40646:40647</v>
      </c>
      <c r="B440" s="33" t="s">
        <v>546</v>
      </c>
      <c r="C440" s="126"/>
    </row>
    <row r="441" spans="1:3" x14ac:dyDescent="0.2">
      <c r="A441" s="32" t="str">
        <f t="shared" si="13"/>
        <v>40648:40649</v>
      </c>
      <c r="B441" s="33" t="s">
        <v>547</v>
      </c>
      <c r="C441" s="126"/>
    </row>
    <row r="442" spans="1:3" x14ac:dyDescent="0.2">
      <c r="A442" s="32" t="str">
        <f t="shared" si="13"/>
        <v>40650:40651</v>
      </c>
      <c r="B442" s="33" t="s">
        <v>548</v>
      </c>
      <c r="C442" s="126"/>
    </row>
    <row r="443" spans="1:3" x14ac:dyDescent="0.2">
      <c r="A443" s="32" t="str">
        <f t="shared" si="13"/>
        <v>40652:40653</v>
      </c>
      <c r="B443" s="33" t="s">
        <v>549</v>
      </c>
      <c r="C443" s="126"/>
    </row>
    <row r="444" spans="1:3" x14ac:dyDescent="0.2">
      <c r="A444" s="32" t="str">
        <f t="shared" si="13"/>
        <v>40654:40655</v>
      </c>
      <c r="B444" s="33" t="s">
        <v>550</v>
      </c>
      <c r="C444" s="126"/>
    </row>
    <row r="445" spans="1:3" x14ac:dyDescent="0.2">
      <c r="A445" s="32" t="str">
        <f t="shared" si="13"/>
        <v>40656:40657</v>
      </c>
      <c r="B445" s="33" t="s">
        <v>551</v>
      </c>
      <c r="C445" s="126"/>
    </row>
    <row r="446" spans="1:3" x14ac:dyDescent="0.2">
      <c r="A446" s="32" t="str">
        <f t="shared" si="13"/>
        <v>40658:40659</v>
      </c>
      <c r="B446" s="33" t="s">
        <v>552</v>
      </c>
      <c r="C446" s="126"/>
    </row>
    <row r="447" spans="1:3" x14ac:dyDescent="0.2">
      <c r="A447" s="32" t="str">
        <f t="shared" si="13"/>
        <v>40660:40661</v>
      </c>
      <c r="B447" s="33" t="s">
        <v>553</v>
      </c>
      <c r="C447" s="126"/>
    </row>
    <row r="448" spans="1:3" x14ac:dyDescent="0.2">
      <c r="A448" s="32" t="str">
        <f t="shared" si="13"/>
        <v>40662:40663</v>
      </c>
      <c r="B448" s="33" t="s">
        <v>554</v>
      </c>
      <c r="C448" s="126"/>
    </row>
    <row r="449" spans="1:3" x14ac:dyDescent="0.2">
      <c r="A449" s="32" t="str">
        <f t="shared" si="13"/>
        <v>40664:40665</v>
      </c>
      <c r="B449" s="33" t="s">
        <v>555</v>
      </c>
      <c r="C449" s="126"/>
    </row>
    <row r="450" spans="1:3" x14ac:dyDescent="0.2">
      <c r="A450" s="32"/>
      <c r="B450" s="33"/>
    </row>
    <row r="451" spans="1:3" ht="15.75" thickBot="1" x14ac:dyDescent="0.25">
      <c r="A451" s="32"/>
      <c r="B451" s="34" t="s">
        <v>564</v>
      </c>
      <c r="C451" s="5"/>
    </row>
    <row r="452" spans="1:3" ht="15.75" thickTop="1" x14ac:dyDescent="0.2">
      <c r="A452" s="32" t="str">
        <f>CONCATENATE(40670 + (ROW()-451) * 2,":",40671 + (ROW()-451)* 2)</f>
        <v>40672:40673</v>
      </c>
      <c r="B452" s="33" t="s">
        <v>544</v>
      </c>
      <c r="C452" s="126" t="s">
        <v>1001</v>
      </c>
    </row>
    <row r="453" spans="1:3" x14ac:dyDescent="0.2">
      <c r="A453" s="32" t="str">
        <f t="shared" ref="A453:A463" si="14">CONCATENATE(40670 + (ROW()-451) * 2,":",40671 + (ROW()-451)* 2)</f>
        <v>40674:40675</v>
      </c>
      <c r="B453" s="33" t="s">
        <v>545</v>
      </c>
      <c r="C453" s="126"/>
    </row>
    <row r="454" spans="1:3" x14ac:dyDescent="0.2">
      <c r="A454" s="32" t="str">
        <f t="shared" si="14"/>
        <v>40676:40677</v>
      </c>
      <c r="B454" s="33" t="s">
        <v>546</v>
      </c>
      <c r="C454" s="126"/>
    </row>
    <row r="455" spans="1:3" x14ac:dyDescent="0.2">
      <c r="A455" s="32" t="str">
        <f t="shared" si="14"/>
        <v>40678:40679</v>
      </c>
      <c r="B455" s="33" t="s">
        <v>547</v>
      </c>
      <c r="C455" s="126"/>
    </row>
    <row r="456" spans="1:3" x14ac:dyDescent="0.2">
      <c r="A456" s="32" t="str">
        <f t="shared" si="14"/>
        <v>40680:40681</v>
      </c>
      <c r="B456" s="33" t="s">
        <v>548</v>
      </c>
      <c r="C456" s="126"/>
    </row>
    <row r="457" spans="1:3" x14ac:dyDescent="0.2">
      <c r="A457" s="32" t="str">
        <f t="shared" si="14"/>
        <v>40682:40683</v>
      </c>
      <c r="B457" s="33" t="s">
        <v>549</v>
      </c>
      <c r="C457" s="126"/>
    </row>
    <row r="458" spans="1:3" x14ac:dyDescent="0.2">
      <c r="A458" s="32" t="str">
        <f t="shared" si="14"/>
        <v>40684:40685</v>
      </c>
      <c r="B458" s="33" t="s">
        <v>550</v>
      </c>
      <c r="C458" s="126"/>
    </row>
    <row r="459" spans="1:3" x14ac:dyDescent="0.2">
      <c r="A459" s="32" t="str">
        <f t="shared" si="14"/>
        <v>40686:40687</v>
      </c>
      <c r="B459" s="33" t="s">
        <v>551</v>
      </c>
      <c r="C459" s="126"/>
    </row>
    <row r="460" spans="1:3" x14ac:dyDescent="0.2">
      <c r="A460" s="32" t="str">
        <f t="shared" si="14"/>
        <v>40688:40689</v>
      </c>
      <c r="B460" s="33" t="s">
        <v>552</v>
      </c>
      <c r="C460" s="126"/>
    </row>
    <row r="461" spans="1:3" x14ac:dyDescent="0.2">
      <c r="A461" s="32" t="str">
        <f t="shared" si="14"/>
        <v>40690:40691</v>
      </c>
      <c r="B461" s="33" t="s">
        <v>553</v>
      </c>
      <c r="C461" s="126"/>
    </row>
    <row r="462" spans="1:3" x14ac:dyDescent="0.2">
      <c r="A462" s="32" t="str">
        <f t="shared" si="14"/>
        <v>40692:40693</v>
      </c>
      <c r="B462" s="33" t="s">
        <v>554</v>
      </c>
      <c r="C462" s="126"/>
    </row>
    <row r="463" spans="1:3" x14ac:dyDescent="0.2">
      <c r="A463" s="32" t="str">
        <f t="shared" si="14"/>
        <v>40694:40695</v>
      </c>
      <c r="B463" s="33" t="s">
        <v>555</v>
      </c>
      <c r="C463" s="126"/>
    </row>
    <row r="464" spans="1:3" x14ac:dyDescent="0.2">
      <c r="A464" s="32"/>
      <c r="B464" s="33"/>
    </row>
    <row r="465" spans="1:2" ht="65.25" x14ac:dyDescent="0.2">
      <c r="A465" s="32">
        <v>40700</v>
      </c>
      <c r="B465" s="36" t="s">
        <v>565</v>
      </c>
    </row>
    <row r="466" spans="1:2" x14ac:dyDescent="0.2">
      <c r="A466" s="29">
        <v>40701</v>
      </c>
      <c r="B466" s="33" t="s">
        <v>566</v>
      </c>
    </row>
    <row r="467" spans="1:2" x14ac:dyDescent="0.2">
      <c r="A467" s="29">
        <v>40702</v>
      </c>
      <c r="B467" s="33" t="s">
        <v>567</v>
      </c>
    </row>
    <row r="468" spans="1:2" x14ac:dyDescent="0.2">
      <c r="A468" s="29">
        <v>40703</v>
      </c>
      <c r="B468" s="33" t="s">
        <v>568</v>
      </c>
    </row>
    <row r="469" spans="1:2" x14ac:dyDescent="0.2">
      <c r="A469" s="29">
        <v>40704</v>
      </c>
      <c r="B469" s="33" t="s">
        <v>569</v>
      </c>
    </row>
    <row r="470" spans="1:2" x14ac:dyDescent="0.2">
      <c r="B470" s="37"/>
    </row>
    <row r="471" spans="1:2" ht="15.75" thickBot="1" x14ac:dyDescent="0.25">
      <c r="B471" s="38" t="s">
        <v>570</v>
      </c>
    </row>
    <row r="472" spans="1:2" ht="15.75" thickTop="1" x14ac:dyDescent="0.2">
      <c r="A472" s="32" t="str">
        <f>CONCATENATE(40800 + (ROW()-472) * 2,":",40801 + (ROW()-472)* 2)</f>
        <v>40800:40801</v>
      </c>
      <c r="B472" s="37" t="s">
        <v>571</v>
      </c>
    </row>
    <row r="473" spans="1:2" x14ac:dyDescent="0.2">
      <c r="A473" s="32" t="str">
        <f t="shared" ref="A473:A505" si="15">CONCATENATE(40800 + (ROW()-472) * 2,":",40801 + (ROW()-472)* 2)</f>
        <v>40802:40803</v>
      </c>
      <c r="B473" s="37" t="s">
        <v>572</v>
      </c>
    </row>
    <row r="474" spans="1:2" x14ac:dyDescent="0.2">
      <c r="A474" s="32" t="str">
        <f t="shared" si="15"/>
        <v>40804:40805</v>
      </c>
      <c r="B474" s="37" t="s">
        <v>573</v>
      </c>
    </row>
    <row r="475" spans="1:2" x14ac:dyDescent="0.2">
      <c r="A475" s="32" t="str">
        <f>CONCATENATE(40800 + (ROW()-472) * 2,":",40801 + (ROW()-472)* 2)</f>
        <v>40806:40807</v>
      </c>
      <c r="B475" s="37" t="s">
        <v>574</v>
      </c>
    </row>
    <row r="476" spans="1:2" x14ac:dyDescent="0.2">
      <c r="A476" s="32" t="str">
        <f t="shared" si="15"/>
        <v>40808:40809</v>
      </c>
      <c r="B476" s="37" t="s">
        <v>575</v>
      </c>
    </row>
    <row r="477" spans="1:2" x14ac:dyDescent="0.2">
      <c r="A477" s="32" t="str">
        <f t="shared" si="15"/>
        <v>40810:40811</v>
      </c>
      <c r="B477" s="37" t="s">
        <v>576</v>
      </c>
    </row>
    <row r="478" spans="1:2" x14ac:dyDescent="0.2">
      <c r="A478" s="32" t="str">
        <f t="shared" si="15"/>
        <v>40812:40813</v>
      </c>
      <c r="B478" s="37" t="s">
        <v>577</v>
      </c>
    </row>
    <row r="479" spans="1:2" x14ac:dyDescent="0.2">
      <c r="A479" s="32" t="str">
        <f t="shared" si="15"/>
        <v>40814:40815</v>
      </c>
      <c r="B479" s="37" t="s">
        <v>578</v>
      </c>
    </row>
    <row r="480" spans="1:2" x14ac:dyDescent="0.2">
      <c r="A480" s="32" t="str">
        <f t="shared" si="15"/>
        <v>40816:40817</v>
      </c>
      <c r="B480" s="37" t="s">
        <v>579</v>
      </c>
    </row>
    <row r="481" spans="1:2" x14ac:dyDescent="0.2">
      <c r="A481" s="32" t="str">
        <f t="shared" si="15"/>
        <v>40818:40819</v>
      </c>
      <c r="B481" s="37" t="s">
        <v>580</v>
      </c>
    </row>
    <row r="482" spans="1:2" x14ac:dyDescent="0.2">
      <c r="A482" s="32" t="str">
        <f t="shared" si="15"/>
        <v>40820:40821</v>
      </c>
      <c r="B482" s="37" t="s">
        <v>581</v>
      </c>
    </row>
    <row r="483" spans="1:2" x14ac:dyDescent="0.2">
      <c r="A483" s="32" t="str">
        <f t="shared" si="15"/>
        <v>40822:40823</v>
      </c>
      <c r="B483" s="37" t="s">
        <v>582</v>
      </c>
    </row>
    <row r="484" spans="1:2" x14ac:dyDescent="0.2">
      <c r="A484" s="32" t="str">
        <f t="shared" si="15"/>
        <v>40824:40825</v>
      </c>
      <c r="B484" s="37" t="s">
        <v>583</v>
      </c>
    </row>
    <row r="485" spans="1:2" x14ac:dyDescent="0.2">
      <c r="A485" s="32" t="str">
        <f t="shared" si="15"/>
        <v>40826:40827</v>
      </c>
      <c r="B485" s="37" t="s">
        <v>584</v>
      </c>
    </row>
    <row r="486" spans="1:2" x14ac:dyDescent="0.2">
      <c r="A486" s="32" t="str">
        <f t="shared" si="15"/>
        <v>40828:40829</v>
      </c>
      <c r="B486" s="37" t="s">
        <v>585</v>
      </c>
    </row>
    <row r="487" spans="1:2" x14ac:dyDescent="0.2">
      <c r="A487" s="32" t="str">
        <f t="shared" si="15"/>
        <v>40830:40831</v>
      </c>
      <c r="B487" s="37" t="s">
        <v>586</v>
      </c>
    </row>
    <row r="488" spans="1:2" x14ac:dyDescent="0.2">
      <c r="A488" s="32" t="str">
        <f t="shared" si="15"/>
        <v>40832:40833</v>
      </c>
      <c r="B488" s="37" t="s">
        <v>587</v>
      </c>
    </row>
    <row r="489" spans="1:2" x14ac:dyDescent="0.2">
      <c r="A489" s="32" t="str">
        <f t="shared" si="15"/>
        <v>40834:40835</v>
      </c>
      <c r="B489" s="37" t="s">
        <v>588</v>
      </c>
    </row>
    <row r="490" spans="1:2" x14ac:dyDescent="0.2">
      <c r="A490" s="32" t="str">
        <f t="shared" si="15"/>
        <v>40836:40837</v>
      </c>
      <c r="B490" s="37" t="s">
        <v>589</v>
      </c>
    </row>
    <row r="491" spans="1:2" x14ac:dyDescent="0.2">
      <c r="A491" s="32" t="str">
        <f t="shared" si="15"/>
        <v>40838:40839</v>
      </c>
      <c r="B491" s="37" t="s">
        <v>590</v>
      </c>
    </row>
    <row r="492" spans="1:2" x14ac:dyDescent="0.2">
      <c r="A492" s="32" t="str">
        <f t="shared" si="15"/>
        <v>40840:40841</v>
      </c>
      <c r="B492" s="37" t="s">
        <v>591</v>
      </c>
    </row>
    <row r="493" spans="1:2" x14ac:dyDescent="0.2">
      <c r="A493" s="32" t="str">
        <f t="shared" si="15"/>
        <v>40842:40843</v>
      </c>
      <c r="B493" s="37" t="s">
        <v>592</v>
      </c>
    </row>
    <row r="494" spans="1:2" x14ac:dyDescent="0.2">
      <c r="A494" s="32" t="str">
        <f t="shared" si="15"/>
        <v>40844:40845</v>
      </c>
      <c r="B494" s="37" t="s">
        <v>593</v>
      </c>
    </row>
    <row r="495" spans="1:2" x14ac:dyDescent="0.2">
      <c r="A495" s="32" t="str">
        <f t="shared" si="15"/>
        <v>40846:40847</v>
      </c>
      <c r="B495" s="37" t="s">
        <v>594</v>
      </c>
    </row>
    <row r="496" spans="1:2" x14ac:dyDescent="0.2">
      <c r="A496" s="32" t="str">
        <f t="shared" si="15"/>
        <v>40848:40849</v>
      </c>
      <c r="B496" s="37" t="s">
        <v>595</v>
      </c>
    </row>
    <row r="497" spans="1:6" x14ac:dyDescent="0.2">
      <c r="A497" s="32" t="str">
        <f t="shared" si="15"/>
        <v>40850:40851</v>
      </c>
      <c r="B497" s="37" t="s">
        <v>596</v>
      </c>
    </row>
    <row r="498" spans="1:6" x14ac:dyDescent="0.2">
      <c r="A498" s="32" t="str">
        <f t="shared" si="15"/>
        <v>40852:40853</v>
      </c>
      <c r="B498" s="37" t="s">
        <v>597</v>
      </c>
    </row>
    <row r="499" spans="1:6" x14ac:dyDescent="0.2">
      <c r="A499" s="32" t="str">
        <f t="shared" si="15"/>
        <v>40854:40855</v>
      </c>
      <c r="B499" s="37" t="s">
        <v>598</v>
      </c>
    </row>
    <row r="500" spans="1:6" x14ac:dyDescent="0.2">
      <c r="A500" s="32" t="str">
        <f t="shared" si="15"/>
        <v>40856:40857</v>
      </c>
      <c r="B500" s="37" t="s">
        <v>599</v>
      </c>
    </row>
    <row r="501" spans="1:6" x14ac:dyDescent="0.2">
      <c r="A501" s="32" t="str">
        <f t="shared" si="15"/>
        <v>40858:40859</v>
      </c>
      <c r="B501" s="37" t="s">
        <v>600</v>
      </c>
    </row>
    <row r="502" spans="1:6" x14ac:dyDescent="0.2">
      <c r="A502" s="32" t="str">
        <f t="shared" si="15"/>
        <v>40860:40861</v>
      </c>
      <c r="B502" s="37" t="s">
        <v>601</v>
      </c>
    </row>
    <row r="503" spans="1:6" x14ac:dyDescent="0.2">
      <c r="A503" s="32" t="str">
        <f t="shared" si="15"/>
        <v>40862:40863</v>
      </c>
      <c r="B503" s="37" t="s">
        <v>602</v>
      </c>
    </row>
    <row r="504" spans="1:6" x14ac:dyDescent="0.2">
      <c r="A504" s="32" t="str">
        <f t="shared" si="15"/>
        <v>40864:40865</v>
      </c>
      <c r="B504" s="37" t="s">
        <v>603</v>
      </c>
    </row>
    <row r="505" spans="1:6" x14ac:dyDescent="0.2">
      <c r="A505" s="32" t="str">
        <f t="shared" si="15"/>
        <v>40866:40867</v>
      </c>
      <c r="B505" s="37" t="s">
        <v>604</v>
      </c>
    </row>
    <row r="507" spans="1:6" ht="28.5" customHeight="1" x14ac:dyDescent="0.2">
      <c r="A507" s="26" t="s">
        <v>605</v>
      </c>
      <c r="B507" s="129" t="s">
        <v>606</v>
      </c>
      <c r="C507" s="129"/>
    </row>
    <row r="509" spans="1:6" x14ac:dyDescent="0.2">
      <c r="A509" s="39" t="str">
        <f>CONCATENATE(42000 +  (ROW()-509) * 50,":",42001 +  (ROW()-509) * 50)</f>
        <v>42000:42001</v>
      </c>
      <c r="B509" s="40" t="s">
        <v>607</v>
      </c>
      <c r="C509" s="125" t="str">
        <f>C4</f>
        <v>Suction Stage 1 Pressure</v>
      </c>
      <c r="D509" s="125" t="str">
        <f t="shared" ref="D509:F509" si="16">D4</f>
        <v xml:space="preserve"> </v>
      </c>
      <c r="E509" s="125" t="str">
        <f t="shared" si="16"/>
        <v xml:space="preserve"> </v>
      </c>
      <c r="F509" s="125" t="str">
        <f t="shared" si="16"/>
        <v xml:space="preserve"> </v>
      </c>
    </row>
    <row r="510" spans="1:6" x14ac:dyDescent="0.2">
      <c r="A510" s="39" t="str">
        <f>CONCATENATE(42002 +  (ROW()-510) * 50,":",42003 +  (ROW()-510) * 50)</f>
        <v>42002:42003</v>
      </c>
      <c r="B510" s="40" t="s">
        <v>608</v>
      </c>
      <c r="C510" s="125"/>
      <c r="D510" s="125"/>
      <c r="E510" s="125"/>
      <c r="F510" s="125"/>
    </row>
    <row r="511" spans="1:6" x14ac:dyDescent="0.2">
      <c r="A511" s="39" t="str">
        <f>CONCATENATE(42000 +  (ROW()-509) * 50,":",42001 +  (ROW()-509) * 50)</f>
        <v>42100:42101</v>
      </c>
      <c r="B511" s="40" t="s">
        <v>609</v>
      </c>
      <c r="C511" s="125" t="str">
        <f>C6</f>
        <v>Discharge Stage 1 Pressure</v>
      </c>
      <c r="D511" s="125" t="str">
        <f t="shared" ref="D511:F511" si="17">D6</f>
        <v xml:space="preserve"> </v>
      </c>
      <c r="E511" s="125" t="str">
        <f t="shared" si="17"/>
        <v xml:space="preserve"> </v>
      </c>
      <c r="F511" s="125" t="str">
        <f t="shared" si="17"/>
        <v xml:space="preserve"> </v>
      </c>
    </row>
    <row r="512" spans="1:6" x14ac:dyDescent="0.2">
      <c r="A512" s="39" t="str">
        <f>CONCATENATE(42002 +  (ROW()-510) * 50,":",42003 +  (ROW()-510) * 50)</f>
        <v>42102:42103</v>
      </c>
      <c r="B512" s="40" t="s">
        <v>610</v>
      </c>
      <c r="C512" s="125"/>
      <c r="D512" s="125"/>
      <c r="E512" s="125"/>
      <c r="F512" s="125"/>
    </row>
    <row r="513" spans="1:6" x14ac:dyDescent="0.2">
      <c r="A513" s="39" t="str">
        <f>CONCATENATE(42000 +  (ROW()-509) * 50,":",42001 +  (ROW()-509) * 50)</f>
        <v>42200:42201</v>
      </c>
      <c r="B513" s="40" t="s">
        <v>611</v>
      </c>
      <c r="C513" s="125" t="str">
        <f t="shared" ref="C513:F513" si="18">C8</f>
        <v xml:space="preserve"> </v>
      </c>
      <c r="D513" s="125" t="str">
        <f t="shared" si="18"/>
        <v xml:space="preserve"> </v>
      </c>
      <c r="E513" s="125" t="str">
        <f t="shared" si="18"/>
        <v xml:space="preserve"> </v>
      </c>
      <c r="F513" s="125" t="str">
        <f t="shared" si="18"/>
        <v xml:space="preserve"> </v>
      </c>
    </row>
    <row r="514" spans="1:6" x14ac:dyDescent="0.2">
      <c r="A514" s="39" t="str">
        <f>CONCATENATE(42002 +  (ROW()-510) * 50,":",42003 +  (ROW()-510) * 50)</f>
        <v>42202:42203</v>
      </c>
      <c r="B514" s="40" t="s">
        <v>612</v>
      </c>
      <c r="C514" s="125"/>
      <c r="D514" s="125"/>
      <c r="E514" s="125"/>
      <c r="F514" s="125"/>
    </row>
    <row r="515" spans="1:6" x14ac:dyDescent="0.2">
      <c r="A515" s="39" t="str">
        <f>CONCATENATE(42000 +  (ROW()-509) * 50,":",42001 +  (ROW()-509) * 50)</f>
        <v>42300:42301</v>
      </c>
      <c r="B515" s="40" t="s">
        <v>613</v>
      </c>
      <c r="C515" s="125" t="str">
        <f t="shared" ref="C515:F515" si="19">C10</f>
        <v>Discharge Stage 2 Pressure</v>
      </c>
      <c r="D515" s="125" t="str">
        <f t="shared" si="19"/>
        <v xml:space="preserve"> </v>
      </c>
      <c r="E515" s="125" t="str">
        <f t="shared" si="19"/>
        <v xml:space="preserve"> </v>
      </c>
      <c r="F515" s="125" t="str">
        <f t="shared" si="19"/>
        <v xml:space="preserve"> </v>
      </c>
    </row>
    <row r="516" spans="1:6" x14ac:dyDescent="0.2">
      <c r="A516" s="39" t="str">
        <f>CONCATENATE(42002 +  (ROW()-510) * 50,":",42003 +  (ROW()-510) * 50)</f>
        <v>42302:42303</v>
      </c>
      <c r="B516" s="40" t="s">
        <v>614</v>
      </c>
      <c r="C516" s="125"/>
      <c r="D516" s="125"/>
      <c r="E516" s="125"/>
      <c r="F516" s="125"/>
    </row>
    <row r="517" spans="1:6" x14ac:dyDescent="0.2">
      <c r="A517" s="39" t="str">
        <f>CONCATENATE(42000 +  (ROW()-509) * 50,":",42001 +  (ROW()-509) * 50)</f>
        <v>42400:42401</v>
      </c>
      <c r="B517" s="40" t="s">
        <v>615</v>
      </c>
      <c r="C517" s="125" t="str">
        <f t="shared" ref="C517:F517" si="20">C12</f>
        <v>3rd Stage Suction Pressure</v>
      </c>
      <c r="D517" s="125" t="str">
        <f t="shared" si="20"/>
        <v xml:space="preserve"> </v>
      </c>
      <c r="E517" s="125" t="str">
        <f t="shared" si="20"/>
        <v xml:space="preserve"> </v>
      </c>
      <c r="F517" s="125" t="str">
        <f t="shared" si="20"/>
        <v xml:space="preserve"> </v>
      </c>
    </row>
    <row r="518" spans="1:6" x14ac:dyDescent="0.2">
      <c r="A518" s="39" t="str">
        <f>CONCATENATE(42002 +  (ROW()-510) * 50,":",42003 +  (ROW()-510) * 50)</f>
        <v>42402:42403</v>
      </c>
      <c r="B518" s="40" t="s">
        <v>616</v>
      </c>
      <c r="C518" s="125"/>
      <c r="D518" s="125"/>
      <c r="E518" s="125"/>
      <c r="F518" s="125"/>
    </row>
    <row r="519" spans="1:6" x14ac:dyDescent="0.2">
      <c r="A519" s="39" t="str">
        <f>CONCATENATE(42000 +  (ROW()-509) * 50,":",42001 +  (ROW()-509) * 50)</f>
        <v>42500:42501</v>
      </c>
      <c r="B519" s="40" t="s">
        <v>617</v>
      </c>
      <c r="C519" s="125" t="str">
        <f t="shared" ref="C519:F519" si="21">C14</f>
        <v>3rd Stage Discharge Pressure</v>
      </c>
      <c r="D519" s="125" t="str">
        <f t="shared" si="21"/>
        <v xml:space="preserve"> </v>
      </c>
      <c r="E519" s="125" t="str">
        <f t="shared" si="21"/>
        <v xml:space="preserve"> </v>
      </c>
      <c r="F519" s="125" t="str">
        <f t="shared" si="21"/>
        <v xml:space="preserve"> </v>
      </c>
    </row>
    <row r="520" spans="1:6" x14ac:dyDescent="0.2">
      <c r="A520" s="39" t="str">
        <f>CONCATENATE(42002 +  (ROW()-510) * 50,":",42003 +  (ROW()-510) * 50)</f>
        <v>42502:42503</v>
      </c>
      <c r="B520" s="40" t="s">
        <v>618</v>
      </c>
      <c r="C520" s="125"/>
      <c r="D520" s="125"/>
      <c r="E520" s="125"/>
      <c r="F520" s="125"/>
    </row>
    <row r="521" spans="1:6" x14ac:dyDescent="0.2">
      <c r="A521" s="39" t="str">
        <f>CONCATENATE(42000 +  (ROW()-509) * 50,":",42001 +  (ROW()-509) * 50)</f>
        <v>42600:42601</v>
      </c>
      <c r="B521" s="40" t="s">
        <v>619</v>
      </c>
      <c r="C521" s="125" t="str">
        <f t="shared" ref="C521:F521" si="22">C16</f>
        <v>Compressor Lube Oil Pressure</v>
      </c>
      <c r="D521" s="125" t="str">
        <f t="shared" si="22"/>
        <v xml:space="preserve"> </v>
      </c>
      <c r="E521" s="125" t="str">
        <f t="shared" si="22"/>
        <v xml:space="preserve"> </v>
      </c>
      <c r="F521" s="125" t="str">
        <f t="shared" si="22"/>
        <v xml:space="preserve"> </v>
      </c>
    </row>
    <row r="522" spans="1:6" x14ac:dyDescent="0.2">
      <c r="A522" s="39" t="str">
        <f>CONCATENATE(42002 +  (ROW()-510) * 50,":",42003 +  (ROW()-510) * 50)</f>
        <v>42602:42603</v>
      </c>
      <c r="B522" s="40" t="s">
        <v>620</v>
      </c>
      <c r="C522" s="125"/>
      <c r="D522" s="125"/>
      <c r="E522" s="125"/>
      <c r="F522" s="125"/>
    </row>
    <row r="523" spans="1:6" x14ac:dyDescent="0.2">
      <c r="A523" s="39" t="str">
        <f>CONCATENATE(42000 +  (ROW()-509) * 50,":",42001 +  (ROW()-509) * 50)</f>
        <v>42700:42701</v>
      </c>
      <c r="B523" s="40" t="s">
        <v>621</v>
      </c>
      <c r="C523" s="125" t="str">
        <f t="shared" ref="C523:F523" si="23">C18</f>
        <v>Engine Lube Oil Pressure</v>
      </c>
      <c r="D523" s="125" t="str">
        <f t="shared" si="23"/>
        <v xml:space="preserve"> </v>
      </c>
      <c r="E523" s="125" t="str">
        <f t="shared" si="23"/>
        <v xml:space="preserve"> </v>
      </c>
      <c r="F523" s="125" t="str">
        <f t="shared" si="23"/>
        <v xml:space="preserve"> </v>
      </c>
    </row>
    <row r="524" spans="1:6" x14ac:dyDescent="0.2">
      <c r="A524" s="39" t="str">
        <f>CONCATENATE(42002 +  (ROW()-510) * 50,":",42003 +  (ROW()-510) * 50)</f>
        <v>42702:42703</v>
      </c>
      <c r="B524" s="40" t="s">
        <v>622</v>
      </c>
      <c r="C524" s="125"/>
      <c r="D524" s="125"/>
      <c r="E524" s="125"/>
      <c r="F524" s="125"/>
    </row>
    <row r="525" spans="1:6" x14ac:dyDescent="0.2">
      <c r="A525" s="39" t="str">
        <f>CONCATENATE(42000 +  (ROW()-509) * 50,":",42001 +  (ROW()-509) * 50)</f>
        <v>42800:42801</v>
      </c>
      <c r="B525" s="40" t="s">
        <v>623</v>
      </c>
      <c r="C525" s="125" t="str">
        <f t="shared" ref="C525:F525" si="24">C20</f>
        <v>GD01 Gas Detector- Comp side</v>
      </c>
      <c r="D525" s="125" t="str">
        <f t="shared" si="24"/>
        <v xml:space="preserve"> </v>
      </c>
      <c r="E525" s="125" t="str">
        <f t="shared" si="24"/>
        <v xml:space="preserve"> </v>
      </c>
      <c r="F525" s="125" t="str">
        <f t="shared" si="24"/>
        <v xml:space="preserve"> </v>
      </c>
    </row>
    <row r="526" spans="1:6" x14ac:dyDescent="0.2">
      <c r="A526" s="39" t="str">
        <f>CONCATENATE(42002 +  (ROW()-510) * 50,":",42003 +  (ROW()-510) * 50)</f>
        <v>42802:42803</v>
      </c>
      <c r="B526" s="40" t="s">
        <v>624</v>
      </c>
      <c r="C526" s="125"/>
      <c r="D526" s="125"/>
      <c r="E526" s="125"/>
      <c r="F526" s="125"/>
    </row>
    <row r="527" spans="1:6" x14ac:dyDescent="0.2">
      <c r="A527" s="39" t="str">
        <f>CONCATENATE(42000 +  (ROW()-509) * 50,":",42001 +  (ROW()-509) * 50)</f>
        <v>42900:42901</v>
      </c>
      <c r="B527" s="40" t="s">
        <v>625</v>
      </c>
      <c r="C527" s="125" t="str">
        <f t="shared" ref="C527:F527" si="25">C22</f>
        <v>GD012 Gas Detector- Engine side</v>
      </c>
      <c r="D527" s="125" t="str">
        <f t="shared" si="25"/>
        <v xml:space="preserve"> </v>
      </c>
      <c r="E527" s="125" t="str">
        <f t="shared" si="25"/>
        <v xml:space="preserve"> </v>
      </c>
      <c r="F527" s="125" t="str">
        <f t="shared" si="25"/>
        <v xml:space="preserve"> </v>
      </c>
    </row>
    <row r="528" spans="1:6" x14ac:dyDescent="0.2">
      <c r="A528" s="39" t="str">
        <f>CONCATENATE(42002 +  (ROW()-510) * 50,":",42003 +  (ROW()-510) * 50)</f>
        <v>42902:42903</v>
      </c>
      <c r="B528" s="40" t="s">
        <v>626</v>
      </c>
      <c r="C528" s="125"/>
      <c r="D528" s="125"/>
      <c r="E528" s="125"/>
      <c r="F528" s="125"/>
    </row>
    <row r="529" spans="1:6" x14ac:dyDescent="0.2">
      <c r="A529" s="39" t="str">
        <f>CONCATENATE(42000 +  (ROW()-509) * 50,":",42001 +  (ROW()-509) * 50)</f>
        <v>43000:43001</v>
      </c>
      <c r="B529" s="40" t="s">
        <v>627</v>
      </c>
      <c r="C529" s="125" t="str">
        <f t="shared" ref="C529:F529" si="26">C24</f>
        <v xml:space="preserve"> </v>
      </c>
      <c r="D529" s="125" t="str">
        <f t="shared" si="26"/>
        <v xml:space="preserve"> </v>
      </c>
      <c r="E529" s="125" t="str">
        <f t="shared" si="26"/>
        <v xml:space="preserve"> </v>
      </c>
      <c r="F529" s="125" t="str">
        <f t="shared" si="26"/>
        <v xml:space="preserve"> </v>
      </c>
    </row>
    <row r="530" spans="1:6" x14ac:dyDescent="0.2">
      <c r="A530" s="39" t="str">
        <f>CONCATENATE(42002 +  (ROW()-510) * 50,":",42003 +  (ROW()-510) * 50)</f>
        <v>43002:43003</v>
      </c>
      <c r="B530" s="40" t="s">
        <v>628</v>
      </c>
      <c r="C530" s="125"/>
      <c r="D530" s="125"/>
      <c r="E530" s="125"/>
      <c r="F530" s="125"/>
    </row>
    <row r="531" spans="1:6" x14ac:dyDescent="0.2">
      <c r="A531" s="39" t="str">
        <f>CONCATENATE(42000 +  (ROW()-509) * 50,":",42001 +  (ROW()-509) * 50)</f>
        <v>43100:43101</v>
      </c>
      <c r="B531" s="40" t="s">
        <v>629</v>
      </c>
      <c r="C531" s="125" t="str">
        <f t="shared" ref="C531:F549" si="27">C26</f>
        <v xml:space="preserve"> </v>
      </c>
      <c r="D531" s="125" t="str">
        <f t="shared" si="27"/>
        <v xml:space="preserve"> </v>
      </c>
      <c r="E531" s="125" t="str">
        <f t="shared" si="27"/>
        <v xml:space="preserve"> </v>
      </c>
      <c r="F531" s="125" t="str">
        <f t="shared" si="27"/>
        <v xml:space="preserve"> </v>
      </c>
    </row>
    <row r="532" spans="1:6" x14ac:dyDescent="0.2">
      <c r="A532" s="39" t="str">
        <f>CONCATENATE(42002 +  (ROW()-510) * 50,":",42003 +  (ROW()-510) * 50)</f>
        <v>43102:43103</v>
      </c>
      <c r="B532" s="40" t="s">
        <v>630</v>
      </c>
      <c r="C532" s="125"/>
      <c r="D532" s="125"/>
      <c r="E532" s="125"/>
      <c r="F532" s="125"/>
    </row>
    <row r="533" spans="1:6" x14ac:dyDescent="0.2">
      <c r="A533" s="39" t="str">
        <f>CONCATENATE(42000 +  (ROW()-509) * 50,":",42001 +  (ROW()-509) * 50)</f>
        <v>43200:43201</v>
      </c>
      <c r="B533" s="40" t="s">
        <v>631</v>
      </c>
      <c r="C533" s="125" t="str">
        <f t="shared" ref="C533:F551" si="28">C28</f>
        <v xml:space="preserve"> </v>
      </c>
      <c r="D533" s="125" t="str">
        <f t="shared" si="28"/>
        <v xml:space="preserve"> </v>
      </c>
      <c r="E533" s="125" t="str">
        <f t="shared" si="28"/>
        <v xml:space="preserve"> </v>
      </c>
      <c r="F533" s="125" t="str">
        <f t="shared" si="28"/>
        <v xml:space="preserve"> </v>
      </c>
    </row>
    <row r="534" spans="1:6" x14ac:dyDescent="0.2">
      <c r="A534" s="39" t="str">
        <f>CONCATENATE(42002 +  (ROW()-510) * 50,":",42003 +  (ROW()-510) * 50)</f>
        <v>43202:43203</v>
      </c>
      <c r="B534" s="40" t="s">
        <v>632</v>
      </c>
      <c r="C534" s="125"/>
      <c r="D534" s="125"/>
      <c r="E534" s="125"/>
      <c r="F534" s="125"/>
    </row>
    <row r="535" spans="1:6" x14ac:dyDescent="0.2">
      <c r="A535" s="39" t="str">
        <f>CONCATENATE(42000 +  (ROW()-509) * 50,":",42001 +  (ROW()-509) * 50)</f>
        <v>43300:43301</v>
      </c>
      <c r="B535" s="40" t="s">
        <v>633</v>
      </c>
      <c r="C535" s="125" t="str">
        <f t="shared" ref="C535:F553" si="29">C30</f>
        <v xml:space="preserve"> </v>
      </c>
      <c r="D535" s="125" t="str">
        <f t="shared" si="29"/>
        <v xml:space="preserve"> </v>
      </c>
      <c r="E535" s="125" t="str">
        <f t="shared" si="29"/>
        <v xml:space="preserve"> </v>
      </c>
      <c r="F535" s="125" t="str">
        <f t="shared" si="29"/>
        <v xml:space="preserve"> </v>
      </c>
    </row>
    <row r="536" spans="1:6" x14ac:dyDescent="0.2">
      <c r="A536" s="39" t="str">
        <f>CONCATENATE(42002 +  (ROW()-510) * 50,":",42003 +  (ROW()-510) * 50)</f>
        <v>43302:43303</v>
      </c>
      <c r="B536" s="40" t="s">
        <v>634</v>
      </c>
      <c r="C536" s="125"/>
      <c r="D536" s="125"/>
      <c r="E536" s="125"/>
      <c r="F536" s="125"/>
    </row>
    <row r="537" spans="1:6" x14ac:dyDescent="0.2">
      <c r="A537" s="39" t="str">
        <f>CONCATENATE(42000 +  (ROW()-509) * 50,":",42001 +  (ROW()-509) * 50)</f>
        <v>43400:43401</v>
      </c>
      <c r="B537" s="40" t="s">
        <v>635</v>
      </c>
      <c r="C537" s="125" t="str">
        <f t="shared" ref="C537:F555" si="30">C32</f>
        <v xml:space="preserve"> </v>
      </c>
      <c r="D537" s="125" t="str">
        <f t="shared" si="30"/>
        <v xml:space="preserve"> </v>
      </c>
      <c r="E537" s="125" t="str">
        <f t="shared" si="30"/>
        <v xml:space="preserve"> </v>
      </c>
      <c r="F537" s="125" t="str">
        <f t="shared" si="30"/>
        <v xml:space="preserve"> </v>
      </c>
    </row>
    <row r="538" spans="1:6" x14ac:dyDescent="0.2">
      <c r="A538" s="39" t="str">
        <f>CONCATENATE(42002 +  (ROW()-510) * 50,":",42003 +  (ROW()-510) * 50)</f>
        <v>43402:43403</v>
      </c>
      <c r="B538" s="40" t="s">
        <v>636</v>
      </c>
      <c r="C538" s="125"/>
      <c r="D538" s="125"/>
      <c r="E538" s="125"/>
      <c r="F538" s="125"/>
    </row>
    <row r="539" spans="1:6" x14ac:dyDescent="0.2">
      <c r="A539" s="39" t="str">
        <f>CONCATENATE(42000 +  (ROW()-509) * 50,":",42001 +  (ROW()-509) * 50)</f>
        <v>43500:43501</v>
      </c>
      <c r="B539" s="40" t="s">
        <v>637</v>
      </c>
      <c r="C539" s="125" t="str">
        <f t="shared" ref="C539:F557" si="31">C34</f>
        <v xml:space="preserve"> </v>
      </c>
      <c r="D539" s="125" t="str">
        <f t="shared" si="31"/>
        <v xml:space="preserve"> </v>
      </c>
      <c r="E539" s="125" t="str">
        <f t="shared" si="31"/>
        <v xml:space="preserve"> </v>
      </c>
      <c r="F539" s="125" t="str">
        <f t="shared" si="31"/>
        <v xml:space="preserve"> </v>
      </c>
    </row>
    <row r="540" spans="1:6" x14ac:dyDescent="0.2">
      <c r="A540" s="39" t="str">
        <f>CONCATENATE(42002 +  (ROW()-510) * 50,":",42003 +  (ROW()-510) * 50)</f>
        <v>43502:43503</v>
      </c>
      <c r="B540" s="40" t="s">
        <v>638</v>
      </c>
      <c r="C540" s="125"/>
      <c r="D540" s="125"/>
      <c r="E540" s="125"/>
      <c r="F540" s="125"/>
    </row>
    <row r="541" spans="1:6" x14ac:dyDescent="0.2">
      <c r="A541" s="39" t="str">
        <f>CONCATENATE(42000 +  (ROW()-509) * 50,":",42001 +  (ROW()-509) * 50)</f>
        <v>43600:43601</v>
      </c>
      <c r="B541" s="40" t="s">
        <v>639</v>
      </c>
      <c r="C541" s="125" t="str">
        <f t="shared" ref="C541:F559" si="32">C36</f>
        <v>Lube No Flow switch</v>
      </c>
      <c r="D541" s="125" t="str">
        <f t="shared" si="32"/>
        <v xml:space="preserve"> </v>
      </c>
      <c r="E541" s="125" t="str">
        <f t="shared" si="32"/>
        <v xml:space="preserve"> </v>
      </c>
      <c r="F541" s="125" t="str">
        <f t="shared" si="32"/>
        <v xml:space="preserve"> </v>
      </c>
    </row>
    <row r="542" spans="1:6" x14ac:dyDescent="0.2">
      <c r="A542" s="39" t="str">
        <f>CONCATENATE(42002 +  (ROW()-510) * 50,":",42003 +  (ROW()-510) * 50)</f>
        <v>43602:43603</v>
      </c>
      <c r="B542" s="40" t="s">
        <v>640</v>
      </c>
      <c r="C542" s="125"/>
      <c r="D542" s="125"/>
      <c r="E542" s="125"/>
      <c r="F542" s="125"/>
    </row>
    <row r="543" spans="1:6" x14ac:dyDescent="0.2">
      <c r="A543" s="39" t="str">
        <f>CONCATENATE(42000 +  (ROW()-509) * 50,":",42001 +  (ROW()-509) * 50)</f>
        <v>43700:43701</v>
      </c>
      <c r="B543" s="40" t="s">
        <v>641</v>
      </c>
      <c r="C543" s="125" t="str">
        <f t="shared" ref="C543:F561" si="33">C38</f>
        <v>Engine Oil Level LSLL</v>
      </c>
      <c r="D543" s="125" t="str">
        <f t="shared" si="33"/>
        <v xml:space="preserve"> </v>
      </c>
      <c r="E543" s="125" t="str">
        <f t="shared" si="33"/>
        <v xml:space="preserve"> </v>
      </c>
      <c r="F543" s="125" t="str">
        <f t="shared" si="33"/>
        <v xml:space="preserve"> </v>
      </c>
    </row>
    <row r="544" spans="1:6" x14ac:dyDescent="0.2">
      <c r="A544" s="39" t="str">
        <f>CONCATENATE(42002 +  (ROW()-510) * 50,":",42003 +  (ROW()-510) * 50)</f>
        <v>43702:43703</v>
      </c>
      <c r="B544" s="40" t="s">
        <v>642</v>
      </c>
      <c r="C544" s="125"/>
      <c r="D544" s="125"/>
      <c r="E544" s="125"/>
      <c r="F544" s="125"/>
    </row>
    <row r="545" spans="1:6" x14ac:dyDescent="0.2">
      <c r="A545" s="39" t="str">
        <f>CONCATENATE(42000 +  (ROW()-509) * 50,":",42001 +  (ROW()-509) * 50)</f>
        <v>43800:43801</v>
      </c>
      <c r="B545" s="40" t="s">
        <v>643</v>
      </c>
      <c r="C545" s="125" t="str">
        <f t="shared" ref="C545:F545" si="34">C40</f>
        <v>Compressor Oil Level LSLL</v>
      </c>
      <c r="D545" s="125" t="str">
        <f t="shared" si="34"/>
        <v xml:space="preserve"> </v>
      </c>
      <c r="E545" s="125" t="str">
        <f t="shared" si="34"/>
        <v xml:space="preserve"> </v>
      </c>
      <c r="F545" s="125" t="str">
        <f t="shared" si="34"/>
        <v xml:space="preserve"> </v>
      </c>
    </row>
    <row r="546" spans="1:6" x14ac:dyDescent="0.2">
      <c r="A546" s="39" t="str">
        <f>CONCATENATE(42002 +  (ROW()-510) * 50,":",42003 +  (ROW()-510) * 50)</f>
        <v>43802:43803</v>
      </c>
      <c r="B546" s="40" t="s">
        <v>644</v>
      </c>
      <c r="C546" s="125"/>
      <c r="D546" s="125"/>
      <c r="E546" s="125"/>
      <c r="F546" s="125"/>
    </row>
    <row r="547" spans="1:6" x14ac:dyDescent="0.2">
      <c r="A547" s="39" t="str">
        <f>CONCATENATE(42000 +  (ROW()-509) * 50,":",42001 +  (ROW()-509) * 50)</f>
        <v>43900:43901</v>
      </c>
      <c r="B547" s="40" t="s">
        <v>645</v>
      </c>
      <c r="C547" s="125" t="str">
        <f t="shared" ref="C547:F547" si="35">C42</f>
        <v>Engine JW water Level LSLL</v>
      </c>
      <c r="D547" s="125" t="str">
        <f t="shared" si="35"/>
        <v xml:space="preserve"> </v>
      </c>
      <c r="E547" s="125" t="str">
        <f t="shared" si="35"/>
        <v xml:space="preserve"> </v>
      </c>
      <c r="F547" s="125" t="str">
        <f t="shared" si="35"/>
        <v xml:space="preserve"> </v>
      </c>
    </row>
    <row r="548" spans="1:6" x14ac:dyDescent="0.2">
      <c r="A548" s="39" t="str">
        <f>CONCATENATE(42002 +  (ROW()-510) * 50,":",42003 +  (ROW()-510) * 50)</f>
        <v>43902:43903</v>
      </c>
      <c r="B548" s="40" t="s">
        <v>646</v>
      </c>
      <c r="C548" s="125"/>
      <c r="D548" s="125"/>
      <c r="E548" s="125"/>
      <c r="F548" s="125"/>
    </row>
    <row r="549" spans="1:6" x14ac:dyDescent="0.2">
      <c r="A549" s="39" t="str">
        <f>CONCATENATE(42000 +  (ROW()-509) * 50,":",42001 +  (ROW()-509) * 50)</f>
        <v>44000:44001</v>
      </c>
      <c r="B549" s="40" t="s">
        <v>647</v>
      </c>
      <c r="C549" s="125" t="str">
        <f t="shared" si="27"/>
        <v>Engine Aux Water Level LSLL</v>
      </c>
      <c r="D549" s="125" t="str">
        <f t="shared" si="27"/>
        <v xml:space="preserve"> </v>
      </c>
      <c r="E549" s="125" t="str">
        <f t="shared" si="27"/>
        <v xml:space="preserve"> </v>
      </c>
      <c r="F549" s="125" t="str">
        <f t="shared" si="27"/>
        <v xml:space="preserve"> </v>
      </c>
    </row>
    <row r="550" spans="1:6" x14ac:dyDescent="0.2">
      <c r="A550" s="39" t="str">
        <f>CONCATENATE(42002 +  (ROW()-510) * 50,":",42003 +  (ROW()-510) * 50)</f>
        <v>44002:44003</v>
      </c>
      <c r="B550" s="40" t="s">
        <v>648</v>
      </c>
      <c r="C550" s="125"/>
      <c r="D550" s="125"/>
      <c r="E550" s="125"/>
      <c r="F550" s="125"/>
    </row>
    <row r="551" spans="1:6" x14ac:dyDescent="0.2">
      <c r="A551" s="39" t="str">
        <f>CONCATENATE(42000 +  (ROW()-509) * 50,":",42001 +  (ROW()-509) * 50)</f>
        <v>44100:44101</v>
      </c>
      <c r="B551" s="40" t="s">
        <v>649</v>
      </c>
      <c r="C551" s="125" t="str">
        <f t="shared" si="28"/>
        <v>Cooler Vibration VSHH</v>
      </c>
      <c r="D551" s="125" t="str">
        <f t="shared" si="28"/>
        <v xml:space="preserve"> </v>
      </c>
      <c r="E551" s="125" t="str">
        <f t="shared" si="28"/>
        <v xml:space="preserve"> </v>
      </c>
      <c r="F551" s="125" t="str">
        <f t="shared" si="28"/>
        <v xml:space="preserve"> </v>
      </c>
    </row>
    <row r="552" spans="1:6" x14ac:dyDescent="0.2">
      <c r="A552" s="39" t="str">
        <f>CONCATENATE(42002 +  (ROW()-510) * 50,":",42003 +  (ROW()-510) * 50)</f>
        <v>44102:44103</v>
      </c>
      <c r="B552" s="40" t="s">
        <v>650</v>
      </c>
      <c r="C552" s="125"/>
      <c r="D552" s="125"/>
      <c r="E552" s="125"/>
      <c r="F552" s="125"/>
    </row>
    <row r="553" spans="1:6" x14ac:dyDescent="0.2">
      <c r="A553" s="39" t="str">
        <f>CONCATENATE(42000 +  (ROW()-509) * 50,":",42001 +  (ROW()-509) * 50)</f>
        <v>44200:44201</v>
      </c>
      <c r="B553" s="40" t="s">
        <v>651</v>
      </c>
      <c r="C553" s="125" t="str">
        <f t="shared" si="29"/>
        <v>Compressor Vibration VSHH</v>
      </c>
      <c r="D553" s="125" t="str">
        <f t="shared" si="29"/>
        <v xml:space="preserve"> </v>
      </c>
      <c r="E553" s="125" t="str">
        <f t="shared" si="29"/>
        <v xml:space="preserve"> </v>
      </c>
      <c r="F553" s="125" t="str">
        <f t="shared" si="29"/>
        <v xml:space="preserve"> </v>
      </c>
    </row>
    <row r="554" spans="1:6" x14ac:dyDescent="0.2">
      <c r="A554" s="39" t="str">
        <f>CONCATENATE(42002 +  (ROW()-510) * 50,":",42003 +  (ROW()-510) * 50)</f>
        <v>44202:44203</v>
      </c>
      <c r="B554" s="40" t="s">
        <v>652</v>
      </c>
      <c r="C554" s="125"/>
      <c r="D554" s="125"/>
      <c r="E554" s="125"/>
      <c r="F554" s="125"/>
    </row>
    <row r="555" spans="1:6" x14ac:dyDescent="0.2">
      <c r="A555" s="39" t="str">
        <f>CONCATENATE(42000 +  (ROW()-509) * 50,":",42001 +  (ROW()-509) * 50)</f>
        <v>44300:44301</v>
      </c>
      <c r="B555" s="40" t="s">
        <v>653</v>
      </c>
      <c r="C555" s="125" t="str">
        <f t="shared" si="30"/>
        <v>Engine Vibration VSHH</v>
      </c>
      <c r="D555" s="125" t="str">
        <f t="shared" si="30"/>
        <v xml:space="preserve"> </v>
      </c>
      <c r="E555" s="125" t="str">
        <f t="shared" si="30"/>
        <v xml:space="preserve"> </v>
      </c>
      <c r="F555" s="125" t="str">
        <f t="shared" si="30"/>
        <v xml:space="preserve"> </v>
      </c>
    </row>
    <row r="556" spans="1:6" x14ac:dyDescent="0.2">
      <c r="A556" s="39" t="str">
        <f>CONCATENATE(42002 +  (ROW()-510) * 50,":",42003 +  (ROW()-510) * 50)</f>
        <v>44302:44303</v>
      </c>
      <c r="B556" s="40" t="s">
        <v>654</v>
      </c>
      <c r="C556" s="125"/>
      <c r="D556" s="125"/>
      <c r="E556" s="125"/>
      <c r="F556" s="125"/>
    </row>
    <row r="557" spans="1:6" x14ac:dyDescent="0.2">
      <c r="A557" s="39" t="str">
        <f>CONCATENATE(42000 +  (ROW()-509) * 50,":",42001 +  (ROW()-509) * 50)</f>
        <v>44400:44401</v>
      </c>
      <c r="B557" s="40" t="s">
        <v>655</v>
      </c>
      <c r="C557" s="125" t="str">
        <f t="shared" si="31"/>
        <v>1st STG Scrubber Level HIGH</v>
      </c>
      <c r="D557" s="125" t="str">
        <f t="shared" si="31"/>
        <v xml:space="preserve"> </v>
      </c>
      <c r="E557" s="125" t="str">
        <f t="shared" si="31"/>
        <v xml:space="preserve"> </v>
      </c>
      <c r="F557" s="125" t="str">
        <f t="shared" si="31"/>
        <v xml:space="preserve"> </v>
      </c>
    </row>
    <row r="558" spans="1:6" x14ac:dyDescent="0.2">
      <c r="A558" s="39" t="str">
        <f>CONCATENATE(42002 +  (ROW()-510) * 50,":",42003 +  (ROW()-510) * 50)</f>
        <v>44402:44403</v>
      </c>
      <c r="B558" s="40" t="s">
        <v>656</v>
      </c>
      <c r="C558" s="125"/>
      <c r="D558" s="125"/>
      <c r="E558" s="125"/>
      <c r="F558" s="125"/>
    </row>
    <row r="559" spans="1:6" x14ac:dyDescent="0.2">
      <c r="A559" s="39" t="str">
        <f>CONCATENATE(42000 +  (ROW()-509) * 50,":",42001 +  (ROW()-509) * 50)</f>
        <v>44500:44501</v>
      </c>
      <c r="B559" s="40" t="s">
        <v>657</v>
      </c>
      <c r="C559" s="125" t="str">
        <f t="shared" si="32"/>
        <v>2nd Stg Scrubber Level HIGH</v>
      </c>
      <c r="D559" s="125" t="str">
        <f t="shared" si="32"/>
        <v xml:space="preserve"> </v>
      </c>
      <c r="E559" s="125" t="str">
        <f t="shared" si="32"/>
        <v xml:space="preserve"> </v>
      </c>
      <c r="F559" s="125" t="str">
        <f t="shared" si="32"/>
        <v xml:space="preserve"> </v>
      </c>
    </row>
    <row r="560" spans="1:6" x14ac:dyDescent="0.2">
      <c r="A560" s="39" t="str">
        <f>CONCATENATE(42002 +  (ROW()-510) * 50,":",42003 +  (ROW()-510) * 50)</f>
        <v>44502:44503</v>
      </c>
      <c r="B560" s="40" t="s">
        <v>658</v>
      </c>
      <c r="C560" s="125"/>
      <c r="D560" s="125"/>
      <c r="E560" s="125"/>
      <c r="F560" s="125"/>
    </row>
    <row r="561" spans="1:6" x14ac:dyDescent="0.2">
      <c r="A561" s="39" t="str">
        <f>CONCATENATE(42000 +  (ROW()-509) * 50,":",42001 +  (ROW()-509) * 50)</f>
        <v>44600:44601</v>
      </c>
      <c r="B561" s="40" t="s">
        <v>659</v>
      </c>
      <c r="C561" s="125" t="str">
        <f t="shared" si="33"/>
        <v>3rd STG Scrubber Level HIGH</v>
      </c>
      <c r="D561" s="125" t="str">
        <f t="shared" si="33"/>
        <v xml:space="preserve"> </v>
      </c>
      <c r="E561" s="125" t="str">
        <f t="shared" si="33"/>
        <v xml:space="preserve"> </v>
      </c>
      <c r="F561" s="125" t="str">
        <f t="shared" si="33"/>
        <v xml:space="preserve"> </v>
      </c>
    </row>
    <row r="562" spans="1:6" x14ac:dyDescent="0.2">
      <c r="A562" s="39" t="str">
        <f>CONCATENATE(42002 +  (ROW()-510) * 50,":",42003 +  (ROW()-510) * 50)</f>
        <v>44602:44603</v>
      </c>
      <c r="B562" s="40" t="s">
        <v>660</v>
      </c>
      <c r="C562" s="125"/>
      <c r="D562" s="125"/>
      <c r="E562" s="125"/>
      <c r="F562" s="125"/>
    </row>
    <row r="563" spans="1:6" x14ac:dyDescent="0.2">
      <c r="A563" s="39" t="str">
        <f>CONCATENATE(42000 +  (ROW()-509) * 50,":",42001 +  (ROW()-509) * 50)</f>
        <v>44700:44701</v>
      </c>
      <c r="B563" s="40" t="s">
        <v>661</v>
      </c>
      <c r="C563" s="125" t="str">
        <f t="shared" ref="C563:F563" si="36">C58</f>
        <v>CEC DSM Fault</v>
      </c>
      <c r="D563" s="125" t="str">
        <f t="shared" si="36"/>
        <v xml:space="preserve"> </v>
      </c>
      <c r="E563" s="125" t="str">
        <f t="shared" si="36"/>
        <v xml:space="preserve"> </v>
      </c>
      <c r="F563" s="125" t="str">
        <f t="shared" si="36"/>
        <v xml:space="preserve"> </v>
      </c>
    </row>
    <row r="564" spans="1:6" x14ac:dyDescent="0.2">
      <c r="A564" s="39" t="str">
        <f>CONCATENATE(42002 +  (ROW()-510) * 50,":",42003 +  (ROW()-510) * 50)</f>
        <v>44702:44703</v>
      </c>
      <c r="B564" s="40" t="s">
        <v>662</v>
      </c>
      <c r="C564" s="125"/>
      <c r="D564" s="125"/>
      <c r="E564" s="125"/>
      <c r="F564" s="125"/>
    </row>
    <row r="565" spans="1:6" x14ac:dyDescent="0.2">
      <c r="A565" s="39" t="str">
        <f>CONCATENATE(42000 +  (ROW()-509) * 50,":",42001 +  (ROW()-509) * 50)</f>
        <v>44800:44801</v>
      </c>
      <c r="B565" s="40" t="s">
        <v>663</v>
      </c>
      <c r="C565" s="125" t="str">
        <f t="shared" ref="C565:F565" si="37">C60</f>
        <v>Engine Started</v>
      </c>
      <c r="D565" s="125" t="str">
        <f t="shared" si="37"/>
        <v xml:space="preserve"> </v>
      </c>
      <c r="E565" s="125" t="str">
        <f t="shared" si="37"/>
        <v xml:space="preserve"> </v>
      </c>
      <c r="F565" s="125" t="str">
        <f t="shared" si="37"/>
        <v xml:space="preserve"> </v>
      </c>
    </row>
    <row r="566" spans="1:6" x14ac:dyDescent="0.2">
      <c r="A566" s="39" t="str">
        <f>CONCATENATE(42002 +  (ROW()-510) * 50,":",42003 +  (ROW()-510) * 50)</f>
        <v>44802:44803</v>
      </c>
      <c r="B566" s="40" t="s">
        <v>664</v>
      </c>
      <c r="C566" s="125"/>
      <c r="D566" s="125"/>
      <c r="E566" s="125"/>
      <c r="F566" s="125"/>
    </row>
    <row r="567" spans="1:6" x14ac:dyDescent="0.2">
      <c r="A567" s="39" t="str">
        <f>CONCATENATE(42000 +  (ROW()-509) * 50,":",42001 +  (ROW()-509) * 50)</f>
        <v>44900:44901</v>
      </c>
      <c r="B567" s="40" t="s">
        <v>665</v>
      </c>
      <c r="C567" s="125" t="str">
        <f t="shared" ref="C567:F567" si="38">C62</f>
        <v>Remote Stop USD</v>
      </c>
      <c r="D567" s="125" t="str">
        <f t="shared" si="38"/>
        <v xml:space="preserve"> </v>
      </c>
      <c r="E567" s="125" t="str">
        <f t="shared" si="38"/>
        <v xml:space="preserve"> </v>
      </c>
      <c r="F567" s="125" t="str">
        <f t="shared" si="38"/>
        <v xml:space="preserve"> </v>
      </c>
    </row>
    <row r="568" spans="1:6" x14ac:dyDescent="0.2">
      <c r="A568" s="39" t="str">
        <f>CONCATENATE(42002 +  (ROW()-510) * 50,":",42003 +  (ROW()-510) * 50)</f>
        <v>44902:44903</v>
      </c>
      <c r="B568" s="40" t="s">
        <v>666</v>
      </c>
      <c r="C568" s="125"/>
      <c r="D568" s="125"/>
      <c r="E568" s="125"/>
      <c r="F568" s="125"/>
    </row>
    <row r="569" spans="1:6" x14ac:dyDescent="0.2">
      <c r="A569" s="39" t="str">
        <f>CONCATENATE(42000 +  (ROW()-509) * 50,":",42001 +  (ROW()-509) * 50)</f>
        <v>45000:45001</v>
      </c>
      <c r="B569" s="40" t="s">
        <v>667</v>
      </c>
      <c r="C569" s="125" t="str">
        <f t="shared" ref="C569:F569" si="39">C64</f>
        <v>Station ESD</v>
      </c>
      <c r="D569" s="125" t="str">
        <f t="shared" si="39"/>
        <v xml:space="preserve"> </v>
      </c>
      <c r="E569" s="125" t="str">
        <f t="shared" si="39"/>
        <v xml:space="preserve"> </v>
      </c>
      <c r="F569" s="125" t="str">
        <f t="shared" si="39"/>
        <v xml:space="preserve"> </v>
      </c>
    </row>
    <row r="570" spans="1:6" x14ac:dyDescent="0.2">
      <c r="A570" s="39" t="str">
        <f>CONCATENATE(42002 +  (ROW()-510) * 50,":",42003 +  (ROW()-510) * 50)</f>
        <v>45002:45003</v>
      </c>
      <c r="B570" s="40" t="s">
        <v>668</v>
      </c>
      <c r="C570" s="125"/>
      <c r="D570" s="125"/>
      <c r="E570" s="125"/>
      <c r="F570" s="125"/>
    </row>
    <row r="571" spans="1:6" x14ac:dyDescent="0.2">
      <c r="A571" s="39" t="str">
        <f>CONCATENATE(42000 +  (ROW()-509) * 50,":",42001 +  (ROW()-509) * 50)</f>
        <v>45100:45101</v>
      </c>
      <c r="B571" s="40" t="s">
        <v>669</v>
      </c>
      <c r="C571" s="125" t="str">
        <f t="shared" ref="C571:F585" si="40">C66</f>
        <v>Panel Emergency Stop</v>
      </c>
      <c r="D571" s="125" t="str">
        <f t="shared" si="40"/>
        <v xml:space="preserve"> </v>
      </c>
      <c r="E571" s="125" t="str">
        <f t="shared" si="40"/>
        <v xml:space="preserve"> </v>
      </c>
      <c r="F571" s="125" t="str">
        <f t="shared" si="40"/>
        <v xml:space="preserve"> </v>
      </c>
    </row>
    <row r="572" spans="1:6" x14ac:dyDescent="0.2">
      <c r="A572" s="39" t="str">
        <f>CONCATENATE(42002 +  (ROW()-510) * 50,":",42003 +  (ROW()-510) * 50)</f>
        <v>45102:45103</v>
      </c>
      <c r="B572" s="40" t="s">
        <v>670</v>
      </c>
      <c r="C572" s="125"/>
      <c r="D572" s="125"/>
      <c r="E572" s="125"/>
      <c r="F572" s="125"/>
    </row>
    <row r="573" spans="1:6" x14ac:dyDescent="0.2">
      <c r="A573" s="39" t="str">
        <f>CONCATENATE(42000 +  (ROW()-509) * 50,":",42001 +  (ROW()-509) * 50)</f>
        <v>45200:45201</v>
      </c>
      <c r="B573" s="40" t="s">
        <v>671</v>
      </c>
      <c r="C573" s="125" t="str">
        <f t="shared" si="40"/>
        <v>COMPRESSOR OIL TEMP</v>
      </c>
      <c r="D573" s="125" t="str">
        <f t="shared" si="40"/>
        <v xml:space="preserve"> </v>
      </c>
      <c r="E573" s="125" t="str">
        <f t="shared" si="40"/>
        <v xml:space="preserve"> </v>
      </c>
      <c r="F573" s="125" t="str">
        <f t="shared" si="40"/>
        <v xml:space="preserve"> </v>
      </c>
    </row>
    <row r="574" spans="1:6" x14ac:dyDescent="0.2">
      <c r="A574" s="39" t="str">
        <f>CONCATENATE(42002 +  (ROW()-510) * 50,":",42003 +  (ROW()-510) * 50)</f>
        <v>45202:45203</v>
      </c>
      <c r="B574" s="40" t="s">
        <v>672</v>
      </c>
      <c r="C574" s="125"/>
      <c r="D574" s="125"/>
      <c r="E574" s="125"/>
      <c r="F574" s="125"/>
    </row>
    <row r="575" spans="1:6" x14ac:dyDescent="0.2">
      <c r="A575" s="39" t="str">
        <f>CONCATENATE(42000 +  (ROW()-509) * 50,":",42001 +  (ROW()-509) * 50)</f>
        <v>45300:45301</v>
      </c>
      <c r="B575" s="40" t="s">
        <v>673</v>
      </c>
      <c r="C575" s="125" t="str">
        <f t="shared" si="40"/>
        <v>CYL#1 DISCHARGE TEMP</v>
      </c>
      <c r="D575" s="125" t="str">
        <f t="shared" si="40"/>
        <v xml:space="preserve"> </v>
      </c>
      <c r="E575" s="125" t="str">
        <f t="shared" si="40"/>
        <v xml:space="preserve"> </v>
      </c>
      <c r="F575" s="125" t="str">
        <f t="shared" si="40"/>
        <v xml:space="preserve"> </v>
      </c>
    </row>
    <row r="576" spans="1:6" x14ac:dyDescent="0.2">
      <c r="A576" s="39" t="str">
        <f>CONCATENATE(42002 +  (ROW()-510) * 50,":",42003 +  (ROW()-510) * 50)</f>
        <v>45302:45303</v>
      </c>
      <c r="B576" s="40" t="s">
        <v>674</v>
      </c>
      <c r="C576" s="125"/>
      <c r="D576" s="125"/>
      <c r="E576" s="125"/>
      <c r="F576" s="125"/>
    </row>
    <row r="577" spans="1:6" x14ac:dyDescent="0.2">
      <c r="A577" s="39" t="str">
        <f>CONCATENATE(42000 +  (ROW()-509) * 50,":",42001 +  (ROW()-509) * 50)</f>
        <v>45400:45401</v>
      </c>
      <c r="B577" s="40" t="s">
        <v>675</v>
      </c>
      <c r="C577" s="125" t="str">
        <f>C72</f>
        <v>CYL#2 DISCHARGE TEMP</v>
      </c>
      <c r="D577" s="125" t="str">
        <f t="shared" ref="D577:F577" si="41">D72</f>
        <v xml:space="preserve"> </v>
      </c>
      <c r="E577" s="125" t="str">
        <f t="shared" si="41"/>
        <v xml:space="preserve"> </v>
      </c>
      <c r="F577" s="125" t="str">
        <f t="shared" si="41"/>
        <v xml:space="preserve"> </v>
      </c>
    </row>
    <row r="578" spans="1:6" x14ac:dyDescent="0.2">
      <c r="A578" s="39" t="str">
        <f>CONCATENATE(42002 +  (ROW()-510) * 50,":",42003 +  (ROW()-510) * 50)</f>
        <v>45402:45403</v>
      </c>
      <c r="B578" s="40" t="s">
        <v>676</v>
      </c>
      <c r="C578" s="125"/>
      <c r="D578" s="125"/>
      <c r="E578" s="125"/>
      <c r="F578" s="125"/>
    </row>
    <row r="579" spans="1:6" x14ac:dyDescent="0.2">
      <c r="A579" s="39" t="str">
        <f>CONCATENATE(42000 +  (ROW()-509) * 50,":",42001 +  (ROW()-509) * 50)</f>
        <v>45500:45501</v>
      </c>
      <c r="B579" s="40" t="s">
        <v>677</v>
      </c>
      <c r="C579" s="125" t="str">
        <f t="shared" si="40"/>
        <v>CYL#3 DISCHARGE TEMP</v>
      </c>
      <c r="D579" s="125" t="str">
        <f t="shared" si="40"/>
        <v xml:space="preserve"> </v>
      </c>
      <c r="E579" s="125" t="str">
        <f t="shared" si="40"/>
        <v xml:space="preserve"> </v>
      </c>
      <c r="F579" s="125" t="str">
        <f t="shared" si="40"/>
        <v xml:space="preserve"> </v>
      </c>
    </row>
    <row r="580" spans="1:6" x14ac:dyDescent="0.2">
      <c r="A580" s="39" t="str">
        <f>CONCATENATE(42002 +  (ROW()-510) * 50,":",42003 +  (ROW()-510) * 50)</f>
        <v>45502:45503</v>
      </c>
      <c r="B580" s="40" t="s">
        <v>678</v>
      </c>
      <c r="C580" s="125"/>
      <c r="D580" s="125"/>
      <c r="E580" s="125"/>
      <c r="F580" s="125"/>
    </row>
    <row r="581" spans="1:6" x14ac:dyDescent="0.2">
      <c r="A581" s="39" t="str">
        <f>CONCATENATE(42000 +  (ROW()-509) * 50,":",42001 +  (ROW()-509) * 50)</f>
        <v>45600:45601</v>
      </c>
      <c r="B581" s="40" t="s">
        <v>679</v>
      </c>
      <c r="C581" s="125" t="str">
        <f t="shared" si="40"/>
        <v>CYL#4 DISCHARGE TEMP</v>
      </c>
      <c r="D581" s="125" t="str">
        <f t="shared" si="40"/>
        <v xml:space="preserve"> </v>
      </c>
      <c r="E581" s="125" t="str">
        <f t="shared" si="40"/>
        <v xml:space="preserve"> </v>
      </c>
      <c r="F581" s="125" t="str">
        <f t="shared" si="40"/>
        <v xml:space="preserve"> </v>
      </c>
    </row>
    <row r="582" spans="1:6" x14ac:dyDescent="0.2">
      <c r="A582" s="39" t="str">
        <f>CONCATENATE(42002 +  (ROW()-510) * 50,":",42003 +  (ROW()-510) * 50)</f>
        <v>45602:45603</v>
      </c>
      <c r="B582" s="40" t="s">
        <v>680</v>
      </c>
      <c r="C582" s="125"/>
      <c r="D582" s="125"/>
      <c r="E582" s="125"/>
      <c r="F582" s="125"/>
    </row>
    <row r="583" spans="1:6" x14ac:dyDescent="0.2">
      <c r="A583" s="39" t="str">
        <f>CONCATENATE(42000 +  (ROW()-509) * 50,":",42001 +  (ROW()-509) * 50)</f>
        <v>45700:45701</v>
      </c>
      <c r="B583" s="40" t="s">
        <v>681</v>
      </c>
      <c r="C583" s="125" t="str">
        <f t="shared" si="40"/>
        <v xml:space="preserve"> </v>
      </c>
      <c r="D583" s="125" t="str">
        <f t="shared" si="40"/>
        <v xml:space="preserve"> </v>
      </c>
      <c r="E583" s="125" t="str">
        <f t="shared" si="40"/>
        <v xml:space="preserve"> </v>
      </c>
      <c r="F583" s="125" t="str">
        <f t="shared" si="40"/>
        <v xml:space="preserve"> </v>
      </c>
    </row>
    <row r="584" spans="1:6" x14ac:dyDescent="0.2">
      <c r="A584" s="39" t="str">
        <f>CONCATENATE(42002 +  (ROW()-510) * 50,":",42003 +  (ROW()-510) * 50)</f>
        <v>45702:45703</v>
      </c>
      <c r="B584" s="40" t="s">
        <v>682</v>
      </c>
      <c r="C584" s="125"/>
      <c r="D584" s="125"/>
      <c r="E584" s="125"/>
      <c r="F584" s="125"/>
    </row>
    <row r="585" spans="1:6" x14ac:dyDescent="0.2">
      <c r="A585" s="39" t="str">
        <f>CONCATENATE(42000 +  (ROW()-509) * 50,":",42001 +  (ROW()-509) * 50)</f>
        <v>45800:45801</v>
      </c>
      <c r="B585" s="40" t="s">
        <v>683</v>
      </c>
      <c r="C585" s="125" t="str">
        <f t="shared" si="40"/>
        <v xml:space="preserve"> </v>
      </c>
      <c r="D585" s="125" t="str">
        <f t="shared" si="40"/>
        <v xml:space="preserve"> </v>
      </c>
      <c r="E585" s="125" t="str">
        <f t="shared" si="40"/>
        <v xml:space="preserve"> </v>
      </c>
      <c r="F585" s="125" t="str">
        <f t="shared" si="40"/>
        <v xml:space="preserve"> </v>
      </c>
    </row>
    <row r="586" spans="1:6" x14ac:dyDescent="0.2">
      <c r="A586" s="39" t="str">
        <f>CONCATENATE(42002 +  (ROW()-510) * 50,":",42003 +  (ROW()-510) * 50)</f>
        <v>45802:45803</v>
      </c>
      <c r="B586" s="40" t="s">
        <v>684</v>
      </c>
      <c r="C586" s="125"/>
      <c r="D586" s="125"/>
      <c r="E586" s="125"/>
      <c r="F586" s="125"/>
    </row>
    <row r="587" spans="1:6" x14ac:dyDescent="0.2">
      <c r="A587" s="39" t="str">
        <f>CONCATENATE(42000 +  (ROW()-509) * 50,":",42001 +  (ROW()-509) * 50)</f>
        <v>45900:45901</v>
      </c>
      <c r="B587" s="40" t="s">
        <v>685</v>
      </c>
      <c r="C587" s="125" t="str">
        <f t="shared" ref="C587:F597" si="42">C82</f>
        <v xml:space="preserve"> </v>
      </c>
      <c r="D587" s="125" t="str">
        <f t="shared" si="42"/>
        <v xml:space="preserve"> </v>
      </c>
      <c r="E587" s="125" t="str">
        <f t="shared" si="42"/>
        <v xml:space="preserve"> </v>
      </c>
      <c r="F587" s="125" t="str">
        <f t="shared" si="42"/>
        <v xml:space="preserve"> </v>
      </c>
    </row>
    <row r="588" spans="1:6" x14ac:dyDescent="0.2">
      <c r="A588" s="39" t="str">
        <f>CONCATENATE(42002 +  (ROW()-510) * 50,":",42003 +  (ROW()-510) * 50)</f>
        <v>45902:45903</v>
      </c>
      <c r="B588" s="40" t="s">
        <v>686</v>
      </c>
      <c r="C588" s="125"/>
      <c r="D588" s="125"/>
      <c r="E588" s="125"/>
      <c r="F588" s="125"/>
    </row>
    <row r="589" spans="1:6" x14ac:dyDescent="0.2">
      <c r="A589" s="39" t="str">
        <f>CONCATENATE(42000 +  (ROW()-509) * 50,":",42001 +  (ROW()-509) * 50)</f>
        <v>46000:46001</v>
      </c>
      <c r="B589" s="40" t="s">
        <v>687</v>
      </c>
      <c r="C589" s="125" t="str">
        <f t="shared" si="42"/>
        <v>ENGINE OIL TEMP</v>
      </c>
      <c r="D589" s="125" t="str">
        <f t="shared" si="42"/>
        <v xml:space="preserve"> </v>
      </c>
      <c r="E589" s="125" t="str">
        <f t="shared" si="42"/>
        <v xml:space="preserve"> </v>
      </c>
      <c r="F589" s="125" t="str">
        <f t="shared" si="42"/>
        <v xml:space="preserve"> </v>
      </c>
    </row>
    <row r="590" spans="1:6" x14ac:dyDescent="0.2">
      <c r="A590" s="39" t="str">
        <f>CONCATENATE(42002 +  (ROW()-510) * 50,":",42003 +  (ROW()-510) * 50)</f>
        <v>46002:46003</v>
      </c>
      <c r="B590" s="40" t="s">
        <v>688</v>
      </c>
      <c r="C590" s="125"/>
      <c r="D590" s="125"/>
      <c r="E590" s="125"/>
      <c r="F590" s="125"/>
    </row>
    <row r="591" spans="1:6" x14ac:dyDescent="0.2">
      <c r="A591" s="39" t="str">
        <f>CONCATENATE(42000 +  (ROW()-509) * 50,":",42001 +  (ROW()-509) * 50)</f>
        <v>46100:46101</v>
      </c>
      <c r="B591" s="40" t="s">
        <v>689</v>
      </c>
      <c r="C591" s="125" t="str">
        <f t="shared" si="42"/>
        <v>ENGINE JACKET WATER TEMP</v>
      </c>
      <c r="D591" s="125" t="str">
        <f t="shared" si="42"/>
        <v xml:space="preserve"> </v>
      </c>
      <c r="E591" s="125" t="str">
        <f t="shared" si="42"/>
        <v xml:space="preserve"> </v>
      </c>
      <c r="F591" s="125" t="str">
        <f t="shared" si="42"/>
        <v xml:space="preserve"> </v>
      </c>
    </row>
    <row r="592" spans="1:6" x14ac:dyDescent="0.2">
      <c r="A592" s="39" t="str">
        <f>CONCATENATE(42002 +  (ROW()-510) * 50,":",42003 +  (ROW()-510) * 50)</f>
        <v>46102:46103</v>
      </c>
      <c r="B592" s="40" t="s">
        <v>690</v>
      </c>
      <c r="C592" s="125"/>
      <c r="D592" s="125"/>
      <c r="E592" s="125"/>
      <c r="F592" s="125"/>
    </row>
    <row r="593" spans="1:6" x14ac:dyDescent="0.2">
      <c r="A593" s="39" t="str">
        <f>CONCATENATE(42000 +  (ROW()-509) * 50,":",42001 +  (ROW()-509) * 50)</f>
        <v>46200:46201</v>
      </c>
      <c r="B593" s="40" t="s">
        <v>691</v>
      </c>
      <c r="C593" s="125" t="str">
        <f t="shared" si="42"/>
        <v>Engine ESD Right Side</v>
      </c>
      <c r="D593" s="125" t="str">
        <f t="shared" si="42"/>
        <v xml:space="preserve"> </v>
      </c>
      <c r="E593" s="125" t="str">
        <f t="shared" si="42"/>
        <v xml:space="preserve"> </v>
      </c>
      <c r="F593" s="125" t="str">
        <f t="shared" si="42"/>
        <v xml:space="preserve"> </v>
      </c>
    </row>
    <row r="594" spans="1:6" x14ac:dyDescent="0.2">
      <c r="A594" s="39" t="str">
        <f>CONCATENATE(42002 +  (ROW()-510) * 50,":",42003 +  (ROW()-510) * 50)</f>
        <v>46202:46203</v>
      </c>
      <c r="B594" s="40" t="s">
        <v>692</v>
      </c>
      <c r="C594" s="125"/>
      <c r="D594" s="125"/>
      <c r="E594" s="125"/>
      <c r="F594" s="125"/>
    </row>
    <row r="595" spans="1:6" x14ac:dyDescent="0.2">
      <c r="A595" s="39" t="str">
        <f>CONCATENATE(42000 +  (ROW()-509) * 50,":",42001 +  (ROW()-509) * 50)</f>
        <v>46300:46301</v>
      </c>
      <c r="B595" s="40" t="s">
        <v>693</v>
      </c>
      <c r="C595" s="125" t="str">
        <f t="shared" si="42"/>
        <v>Engine ESD Left Side</v>
      </c>
      <c r="D595" s="125" t="str">
        <f t="shared" si="42"/>
        <v xml:space="preserve"> </v>
      </c>
      <c r="E595" s="125" t="str">
        <f t="shared" si="42"/>
        <v xml:space="preserve"> </v>
      </c>
      <c r="F595" s="125" t="str">
        <f t="shared" si="42"/>
        <v xml:space="preserve"> </v>
      </c>
    </row>
    <row r="596" spans="1:6" x14ac:dyDescent="0.2">
      <c r="A596" s="39" t="str">
        <f>CONCATENATE(42002 +  (ROW()-510) * 50,":",42003 +  (ROW()-510) * 50)</f>
        <v>46302:46303</v>
      </c>
      <c r="B596" s="40" t="s">
        <v>694</v>
      </c>
      <c r="C596" s="125"/>
      <c r="D596" s="125"/>
      <c r="E596" s="125"/>
      <c r="F596" s="125"/>
    </row>
    <row r="597" spans="1:6" x14ac:dyDescent="0.2">
      <c r="A597" s="39" t="str">
        <f>CONCATENATE(42000 +  (ROW()-509) * 50,":",42001 +  (ROW()-509) * 50)</f>
        <v>46400:46401</v>
      </c>
      <c r="B597" s="40" t="s">
        <v>695</v>
      </c>
      <c r="C597" s="125" t="str">
        <f t="shared" si="42"/>
        <v xml:space="preserve"> </v>
      </c>
      <c r="D597" s="125" t="str">
        <f t="shared" si="42"/>
        <v xml:space="preserve"> </v>
      </c>
      <c r="E597" s="125" t="str">
        <f t="shared" si="42"/>
        <v xml:space="preserve"> </v>
      </c>
      <c r="F597" s="125" t="str">
        <f t="shared" si="42"/>
        <v xml:space="preserve"> </v>
      </c>
    </row>
    <row r="598" spans="1:6" x14ac:dyDescent="0.2">
      <c r="A598" s="39" t="str">
        <f>CONCATENATE(42002 +  (ROW()-510) * 50,":",42003 +  (ROW()-510) * 50)</f>
        <v>46402:46403</v>
      </c>
      <c r="B598" s="40" t="s">
        <v>696</v>
      </c>
      <c r="C598" s="125"/>
      <c r="D598" s="125"/>
      <c r="E598" s="125"/>
      <c r="F598" s="125"/>
    </row>
    <row r="599" spans="1:6" x14ac:dyDescent="0.2">
      <c r="A599" s="39" t="str">
        <f>CONCATENATE(42000 +  (ROW()-509) * 50,":",42001 +  (ROW()-509) * 50)</f>
        <v>46500:46501</v>
      </c>
      <c r="B599" s="40" t="s">
        <v>697</v>
      </c>
      <c r="C599" s="125" t="str">
        <f t="shared" ref="C599:F613" si="43">C94</f>
        <v xml:space="preserve"> </v>
      </c>
      <c r="D599" s="125" t="str">
        <f t="shared" si="43"/>
        <v xml:space="preserve"> </v>
      </c>
      <c r="E599" s="125" t="str">
        <f t="shared" si="43"/>
        <v xml:space="preserve"> </v>
      </c>
      <c r="F599" s="125" t="str">
        <f t="shared" si="43"/>
        <v xml:space="preserve"> </v>
      </c>
    </row>
    <row r="600" spans="1:6" x14ac:dyDescent="0.2">
      <c r="A600" s="39" t="str">
        <f>CONCATENATE(42002 +  (ROW()-510) * 50,":",42003 +  (ROW()-510) * 50)</f>
        <v>46502:46503</v>
      </c>
      <c r="B600" s="40" t="s">
        <v>698</v>
      </c>
      <c r="C600" s="125"/>
      <c r="D600" s="125"/>
      <c r="E600" s="125"/>
      <c r="F600" s="125"/>
    </row>
    <row r="601" spans="1:6" x14ac:dyDescent="0.2">
      <c r="A601" s="39" t="str">
        <f>CONCATENATE(42000 +  (ROW()-509) * 50,":",42001 +  (ROW()-509) * 50)</f>
        <v>46600:46601</v>
      </c>
      <c r="B601" s="40" t="s">
        <v>699</v>
      </c>
      <c r="C601" s="125" t="str">
        <f t="shared" si="43"/>
        <v xml:space="preserve"> </v>
      </c>
      <c r="D601" s="125" t="str">
        <f t="shared" si="43"/>
        <v xml:space="preserve"> </v>
      </c>
      <c r="E601" s="125" t="str">
        <f t="shared" si="43"/>
        <v xml:space="preserve"> </v>
      </c>
      <c r="F601" s="125" t="str">
        <f t="shared" si="43"/>
        <v xml:space="preserve"> </v>
      </c>
    </row>
    <row r="602" spans="1:6" x14ac:dyDescent="0.2">
      <c r="A602" s="39" t="str">
        <f>CONCATENATE(42002 +  (ROW()-510) * 50,":",42003 +  (ROW()-510) * 50)</f>
        <v>46602:46603</v>
      </c>
      <c r="B602" s="40" t="s">
        <v>700</v>
      </c>
      <c r="C602" s="125"/>
      <c r="D602" s="125"/>
      <c r="E602" s="125"/>
      <c r="F602" s="125"/>
    </row>
    <row r="603" spans="1:6" x14ac:dyDescent="0.2">
      <c r="A603" s="39" t="str">
        <f>CONCATENATE(42000 +  (ROW()-509) * 50,":",42001 +  (ROW()-509) * 50)</f>
        <v>46700:46701</v>
      </c>
      <c r="B603" s="40" t="s">
        <v>701</v>
      </c>
      <c r="C603" s="125" t="str">
        <f t="shared" si="43"/>
        <v xml:space="preserve"> </v>
      </c>
      <c r="D603" s="125" t="str">
        <f t="shared" si="43"/>
        <v xml:space="preserve"> </v>
      </c>
      <c r="E603" s="125" t="str">
        <f t="shared" si="43"/>
        <v xml:space="preserve"> </v>
      </c>
      <c r="F603" s="125" t="str">
        <f t="shared" si="43"/>
        <v xml:space="preserve"> </v>
      </c>
    </row>
    <row r="604" spans="1:6" x14ac:dyDescent="0.2">
      <c r="A604" s="39" t="str">
        <f>CONCATENATE(42002 +  (ROW()-510) * 50,":",42003 +  (ROW()-510) * 50)</f>
        <v>46702:46703</v>
      </c>
      <c r="B604" s="40" t="s">
        <v>702</v>
      </c>
      <c r="C604" s="125"/>
      <c r="D604" s="125"/>
      <c r="E604" s="125"/>
      <c r="F604" s="125"/>
    </row>
    <row r="605" spans="1:6" x14ac:dyDescent="0.2">
      <c r="A605" s="39" t="str">
        <f>CONCATENATE(42000 +  (ROW()-509) * 50,":",42001 +  (ROW()-509) * 50)</f>
        <v>46800:46801</v>
      </c>
      <c r="B605" s="40" t="s">
        <v>703</v>
      </c>
      <c r="C605" s="125" t="str">
        <f t="shared" si="43"/>
        <v>ENGINE EXHAUST CYL 1 Left</v>
      </c>
      <c r="D605" s="125" t="str">
        <f t="shared" si="43"/>
        <v xml:space="preserve"> </v>
      </c>
      <c r="E605" s="125" t="str">
        <f t="shared" si="43"/>
        <v xml:space="preserve"> </v>
      </c>
      <c r="F605" s="125" t="str">
        <f t="shared" si="43"/>
        <v xml:space="preserve"> </v>
      </c>
    </row>
    <row r="606" spans="1:6" x14ac:dyDescent="0.2">
      <c r="A606" s="39" t="str">
        <f>CONCATENATE(42002 +  (ROW()-510) * 50,":",42003 +  (ROW()-510) * 50)</f>
        <v>46802:46803</v>
      </c>
      <c r="B606" s="40" t="s">
        <v>704</v>
      </c>
      <c r="C606" s="125"/>
      <c r="D606" s="125"/>
      <c r="E606" s="125"/>
      <c r="F606" s="125"/>
    </row>
    <row r="607" spans="1:6" x14ac:dyDescent="0.2">
      <c r="A607" s="39" t="str">
        <f>CONCATENATE(42000 +  (ROW()-509) * 50,":",42001 +  (ROW()-509) * 50)</f>
        <v>46900:46901</v>
      </c>
      <c r="B607" s="40" t="s">
        <v>705</v>
      </c>
      <c r="C607" s="125" t="str">
        <f t="shared" si="43"/>
        <v>ENGINE EXHAUST CYL 2 Left</v>
      </c>
      <c r="D607" s="125" t="str">
        <f t="shared" si="43"/>
        <v xml:space="preserve"> </v>
      </c>
      <c r="E607" s="125" t="str">
        <f t="shared" si="43"/>
        <v xml:space="preserve"> </v>
      </c>
      <c r="F607" s="125" t="str">
        <f t="shared" si="43"/>
        <v xml:space="preserve"> </v>
      </c>
    </row>
    <row r="608" spans="1:6" x14ac:dyDescent="0.2">
      <c r="A608" s="39" t="str">
        <f>CONCATENATE(42002 +  (ROW()-510) * 50,":",42003 +  (ROW()-510) * 50)</f>
        <v>46902:46903</v>
      </c>
      <c r="B608" s="40" t="s">
        <v>706</v>
      </c>
      <c r="C608" s="125"/>
      <c r="D608" s="125"/>
      <c r="E608" s="125"/>
      <c r="F608" s="125"/>
    </row>
    <row r="609" spans="1:6" x14ac:dyDescent="0.2">
      <c r="A609" s="39" t="str">
        <f>CONCATENATE(42000 +  (ROW()-509) * 50,":",42001 +  (ROW()-509) * 50)</f>
        <v>47000:47001</v>
      </c>
      <c r="B609" s="40" t="s">
        <v>707</v>
      </c>
      <c r="C609" s="125" t="str">
        <f t="shared" si="43"/>
        <v>ENGINE EXHAUST CYL 3 Left</v>
      </c>
      <c r="D609" s="125" t="str">
        <f t="shared" si="43"/>
        <v xml:space="preserve"> </v>
      </c>
      <c r="E609" s="125" t="str">
        <f t="shared" si="43"/>
        <v xml:space="preserve"> </v>
      </c>
      <c r="F609" s="125" t="str">
        <f t="shared" si="43"/>
        <v xml:space="preserve"> </v>
      </c>
    </row>
    <row r="610" spans="1:6" x14ac:dyDescent="0.2">
      <c r="A610" s="39" t="str">
        <f>CONCATENATE(42002 +  (ROW()-510) * 50,":",42003 +  (ROW()-510) * 50)</f>
        <v>47002:47003</v>
      </c>
      <c r="B610" s="40" t="s">
        <v>708</v>
      </c>
      <c r="C610" s="125"/>
      <c r="D610" s="125"/>
      <c r="E610" s="125"/>
      <c r="F610" s="125"/>
    </row>
    <row r="611" spans="1:6" x14ac:dyDescent="0.2">
      <c r="A611" s="39" t="str">
        <f>CONCATENATE(42000 +  (ROW()-509) * 50,":",42001 +  (ROW()-509) * 50)</f>
        <v>47100:47101</v>
      </c>
      <c r="B611" s="40" t="s">
        <v>709</v>
      </c>
      <c r="C611" s="125" t="str">
        <f t="shared" si="43"/>
        <v>ENGINE EXHAUST CYL 4 Left</v>
      </c>
      <c r="D611" s="125" t="str">
        <f t="shared" si="43"/>
        <v xml:space="preserve"> </v>
      </c>
      <c r="E611" s="125" t="str">
        <f t="shared" si="43"/>
        <v xml:space="preserve"> </v>
      </c>
      <c r="F611" s="125" t="str">
        <f t="shared" si="43"/>
        <v xml:space="preserve"> </v>
      </c>
    </row>
    <row r="612" spans="1:6" x14ac:dyDescent="0.2">
      <c r="A612" s="39" t="str">
        <f>CONCATENATE(42002 +  (ROW()-510) * 50,":",42003 +  (ROW()-510) * 50)</f>
        <v>47102:47103</v>
      </c>
      <c r="B612" s="40" t="s">
        <v>710</v>
      </c>
      <c r="C612" s="125"/>
      <c r="D612" s="125"/>
      <c r="E612" s="125"/>
      <c r="F612" s="125"/>
    </row>
    <row r="613" spans="1:6" x14ac:dyDescent="0.2">
      <c r="A613" s="39" t="str">
        <f>CONCATENATE(42000 +  (ROW()-509) * 50,":",42001 +  (ROW()-509) * 50)</f>
        <v>47200:47201</v>
      </c>
      <c r="B613" s="40" t="s">
        <v>711</v>
      </c>
      <c r="C613" s="125" t="str">
        <f t="shared" si="43"/>
        <v>ENGINE EXHAUST CYL 5 Left</v>
      </c>
      <c r="D613" s="125" t="str">
        <f t="shared" si="43"/>
        <v xml:space="preserve"> </v>
      </c>
      <c r="E613" s="125" t="str">
        <f t="shared" si="43"/>
        <v xml:space="preserve"> </v>
      </c>
      <c r="F613" s="125" t="str">
        <f t="shared" si="43"/>
        <v xml:space="preserve"> </v>
      </c>
    </row>
    <row r="614" spans="1:6" x14ac:dyDescent="0.2">
      <c r="A614" s="39" t="str">
        <f>CONCATENATE(42002 +  (ROW()-510) * 50,":",42003 +  (ROW()-510) * 50)</f>
        <v>47202:47203</v>
      </c>
      <c r="B614" s="40" t="s">
        <v>712</v>
      </c>
      <c r="C614" s="125"/>
      <c r="D614" s="125"/>
      <c r="E614" s="125"/>
      <c r="F614" s="125"/>
    </row>
    <row r="615" spans="1:6" x14ac:dyDescent="0.2">
      <c r="A615" s="39" t="str">
        <f>CONCATENATE(42000 +  (ROW()-509) * 50,":",42001 +  (ROW()-509) * 50)</f>
        <v>47300:47301</v>
      </c>
      <c r="B615" s="40" t="s">
        <v>713</v>
      </c>
      <c r="C615" s="125" t="str">
        <f t="shared" ref="C615:F629" si="44">C110</f>
        <v>ENGINE EXHAUST CYL 6 Left</v>
      </c>
      <c r="D615" s="125" t="str">
        <f t="shared" si="44"/>
        <v xml:space="preserve"> </v>
      </c>
      <c r="E615" s="125" t="str">
        <f t="shared" si="44"/>
        <v xml:space="preserve"> </v>
      </c>
      <c r="F615" s="125" t="str">
        <f t="shared" si="44"/>
        <v xml:space="preserve"> </v>
      </c>
    </row>
    <row r="616" spans="1:6" x14ac:dyDescent="0.2">
      <c r="A616" s="39" t="str">
        <f>CONCATENATE(42002 +  (ROW()-510) * 50,":",42003 +  (ROW()-510) * 50)</f>
        <v>47302:47303</v>
      </c>
      <c r="B616" s="40" t="s">
        <v>714</v>
      </c>
      <c r="C616" s="125"/>
      <c r="D616" s="125"/>
      <c r="E616" s="125"/>
      <c r="F616" s="125"/>
    </row>
    <row r="617" spans="1:6" x14ac:dyDescent="0.2">
      <c r="A617" s="39" t="str">
        <f>CONCATENATE(42000 +  (ROW()-509) * 50,":",42001 +  (ROW()-509) * 50)</f>
        <v>47400:47401</v>
      </c>
      <c r="B617" s="40" t="s">
        <v>715</v>
      </c>
      <c r="C617" s="125" t="str">
        <f t="shared" si="44"/>
        <v>ENGINE EXHAUST CYL 1 Right</v>
      </c>
      <c r="D617" s="125" t="str">
        <f t="shared" si="44"/>
        <v xml:space="preserve"> </v>
      </c>
      <c r="E617" s="125" t="str">
        <f t="shared" si="44"/>
        <v xml:space="preserve"> </v>
      </c>
      <c r="F617" s="125" t="str">
        <f t="shared" si="44"/>
        <v xml:space="preserve"> </v>
      </c>
    </row>
    <row r="618" spans="1:6" x14ac:dyDescent="0.2">
      <c r="A618" s="39" t="str">
        <f>CONCATENATE(42002 +  (ROW()-510) * 50,":",42003 +  (ROW()-510) * 50)</f>
        <v>47402:47403</v>
      </c>
      <c r="B618" s="40" t="s">
        <v>716</v>
      </c>
      <c r="C618" s="125"/>
      <c r="D618" s="125"/>
      <c r="E618" s="125"/>
      <c r="F618" s="125"/>
    </row>
    <row r="619" spans="1:6" x14ac:dyDescent="0.2">
      <c r="A619" s="39" t="str">
        <f>CONCATENATE(42000 +  (ROW()-509) * 50,":",42001 +  (ROW()-509) * 50)</f>
        <v>47500:47501</v>
      </c>
      <c r="B619" s="40" t="s">
        <v>717</v>
      </c>
      <c r="C619" s="125" t="str">
        <f t="shared" si="44"/>
        <v>ENGINE EXHAUST CYL 2 Right</v>
      </c>
      <c r="D619" s="125" t="str">
        <f t="shared" si="44"/>
        <v xml:space="preserve"> </v>
      </c>
      <c r="E619" s="125" t="str">
        <f t="shared" si="44"/>
        <v xml:space="preserve"> </v>
      </c>
      <c r="F619" s="125" t="str">
        <f t="shared" si="44"/>
        <v xml:space="preserve"> </v>
      </c>
    </row>
    <row r="620" spans="1:6" x14ac:dyDescent="0.2">
      <c r="A620" s="39" t="str">
        <f>CONCATENATE(42002 +  (ROW()-510) * 50,":",42003 +  (ROW()-510) * 50)</f>
        <v>47502:47503</v>
      </c>
      <c r="B620" s="40" t="s">
        <v>718</v>
      </c>
      <c r="C620" s="125"/>
      <c r="D620" s="125"/>
      <c r="E620" s="125"/>
      <c r="F620" s="125"/>
    </row>
    <row r="621" spans="1:6" x14ac:dyDescent="0.2">
      <c r="A621" s="39" t="str">
        <f>CONCATENATE(42000 +  (ROW()-509) * 50,":",42001 +  (ROW()-509) * 50)</f>
        <v>47600:47601</v>
      </c>
      <c r="B621" s="40" t="s">
        <v>719</v>
      </c>
      <c r="C621" s="125" t="str">
        <f t="shared" si="44"/>
        <v>ENGINE EXHAUST CYL 3 Right</v>
      </c>
      <c r="D621" s="125" t="str">
        <f t="shared" si="44"/>
        <v xml:space="preserve"> </v>
      </c>
      <c r="E621" s="125" t="str">
        <f t="shared" si="44"/>
        <v xml:space="preserve"> </v>
      </c>
      <c r="F621" s="125" t="str">
        <f t="shared" si="44"/>
        <v xml:space="preserve"> </v>
      </c>
    </row>
    <row r="622" spans="1:6" x14ac:dyDescent="0.2">
      <c r="A622" s="39" t="str">
        <f>CONCATENATE(42002 +  (ROW()-510) * 50,":",42003 +  (ROW()-510) * 50)</f>
        <v>47602:47603</v>
      </c>
      <c r="B622" s="40" t="s">
        <v>720</v>
      </c>
      <c r="C622" s="125"/>
      <c r="D622" s="125"/>
      <c r="E622" s="125"/>
      <c r="F622" s="125"/>
    </row>
    <row r="623" spans="1:6" x14ac:dyDescent="0.2">
      <c r="A623" s="39" t="str">
        <f>CONCATENATE(42000 +  (ROW()-509) * 50,":",42001 +  (ROW()-509) * 50)</f>
        <v>47700:47701</v>
      </c>
      <c r="B623" s="40" t="s">
        <v>721</v>
      </c>
      <c r="C623" s="125" t="str">
        <f t="shared" si="44"/>
        <v>ENGINE EXHAUST CYL 4 Right</v>
      </c>
      <c r="D623" s="125" t="str">
        <f t="shared" si="44"/>
        <v xml:space="preserve"> </v>
      </c>
      <c r="E623" s="125" t="str">
        <f t="shared" si="44"/>
        <v xml:space="preserve"> </v>
      </c>
      <c r="F623" s="125" t="str">
        <f t="shared" si="44"/>
        <v xml:space="preserve"> </v>
      </c>
    </row>
    <row r="624" spans="1:6" x14ac:dyDescent="0.2">
      <c r="A624" s="39" t="str">
        <f>CONCATENATE(42002 +  (ROW()-510) * 50,":",42003 +  (ROW()-510) * 50)</f>
        <v>47702:47703</v>
      </c>
      <c r="B624" s="40" t="s">
        <v>722</v>
      </c>
      <c r="C624" s="125"/>
      <c r="D624" s="125"/>
      <c r="E624" s="125"/>
      <c r="F624" s="125"/>
    </row>
    <row r="625" spans="1:6" x14ac:dyDescent="0.2">
      <c r="A625" s="39" t="str">
        <f>CONCATENATE(42000 +  (ROW()-509) * 50,":",42001 +  (ROW()-509) * 50)</f>
        <v>47800:47801</v>
      </c>
      <c r="B625" s="40" t="s">
        <v>723</v>
      </c>
      <c r="C625" s="125" t="str">
        <f t="shared" si="44"/>
        <v>ENGINE EXHAUST CYL 5 Right</v>
      </c>
      <c r="D625" s="125" t="str">
        <f t="shared" si="44"/>
        <v xml:space="preserve"> </v>
      </c>
      <c r="E625" s="125" t="str">
        <f t="shared" si="44"/>
        <v xml:space="preserve"> </v>
      </c>
      <c r="F625" s="125" t="str">
        <f t="shared" si="44"/>
        <v xml:space="preserve"> </v>
      </c>
    </row>
    <row r="626" spans="1:6" x14ac:dyDescent="0.2">
      <c r="A626" s="39" t="str">
        <f>CONCATENATE(42002 +  (ROW()-510) * 50,":",42003 +  (ROW()-510) * 50)</f>
        <v>47802:47803</v>
      </c>
      <c r="B626" s="40" t="s">
        <v>724</v>
      </c>
      <c r="C626" s="125"/>
      <c r="D626" s="125"/>
      <c r="E626" s="125"/>
      <c r="F626" s="125"/>
    </row>
    <row r="627" spans="1:6" x14ac:dyDescent="0.2">
      <c r="A627" s="39" t="str">
        <f>CONCATENATE(42000 +  (ROW()-509) * 50,":",42001 +  (ROW()-509) * 50)</f>
        <v>47900:47901</v>
      </c>
      <c r="B627" s="40" t="s">
        <v>725</v>
      </c>
      <c r="C627" s="125" t="str">
        <f t="shared" si="44"/>
        <v>ENGINE EXHAUST CYL 6 Right</v>
      </c>
      <c r="D627" s="125" t="str">
        <f t="shared" si="44"/>
        <v xml:space="preserve"> </v>
      </c>
      <c r="E627" s="125" t="str">
        <f t="shared" si="44"/>
        <v xml:space="preserve"> </v>
      </c>
      <c r="F627" s="125" t="str">
        <f t="shared" si="44"/>
        <v xml:space="preserve"> </v>
      </c>
    </row>
    <row r="628" spans="1:6" x14ac:dyDescent="0.2">
      <c r="A628" s="39" t="str">
        <f>CONCATENATE(42002 +  (ROW()-510) * 50,":",42003 +  (ROW()-510) * 50)</f>
        <v>47902:47903</v>
      </c>
      <c r="B628" s="40" t="s">
        <v>726</v>
      </c>
      <c r="C628" s="125"/>
      <c r="D628" s="125"/>
      <c r="E628" s="125"/>
      <c r="F628" s="125"/>
    </row>
    <row r="629" spans="1:6" x14ac:dyDescent="0.2">
      <c r="A629" s="39" t="str">
        <f>CONCATENATE(42000 +  (ROW()-509) * 50,":",42001 +  (ROW()-509) * 50)</f>
        <v>48000:48001</v>
      </c>
      <c r="B629" s="40" t="s">
        <v>727</v>
      </c>
      <c r="C629" s="125" t="str">
        <f t="shared" si="44"/>
        <v>ENGINE EXHAUST PRE TURBO Left</v>
      </c>
      <c r="D629" s="125" t="str">
        <f t="shared" si="44"/>
        <v xml:space="preserve"> </v>
      </c>
      <c r="E629" s="125" t="str">
        <f t="shared" si="44"/>
        <v xml:space="preserve"> </v>
      </c>
      <c r="F629" s="125" t="str">
        <f t="shared" si="44"/>
        <v xml:space="preserve"> </v>
      </c>
    </row>
    <row r="630" spans="1:6" x14ac:dyDescent="0.2">
      <c r="A630" s="39" t="str">
        <f>CONCATENATE(42002 +  (ROW()-510) * 50,":",42003 +  (ROW()-510) * 50)</f>
        <v>48002:48003</v>
      </c>
      <c r="B630" s="40" t="s">
        <v>728</v>
      </c>
      <c r="C630" s="125"/>
      <c r="D630" s="125"/>
      <c r="E630" s="125"/>
      <c r="F630" s="125"/>
    </row>
    <row r="631" spans="1:6" x14ac:dyDescent="0.2">
      <c r="A631" s="39" t="str">
        <f>CONCATENATE(42000 +  (ROW()-509) * 50,":",42001 +  (ROW()-509) * 50)</f>
        <v>48100:48101</v>
      </c>
      <c r="B631" s="40" t="s">
        <v>729</v>
      </c>
      <c r="C631" s="125" t="str">
        <f t="shared" ref="C631:F635" si="45">C126</f>
        <v>ENGINE EXHAUST PRE TURBO Right</v>
      </c>
      <c r="D631" s="125" t="str">
        <f t="shared" si="45"/>
        <v xml:space="preserve"> </v>
      </c>
      <c r="E631" s="125" t="str">
        <f t="shared" si="45"/>
        <v xml:space="preserve"> </v>
      </c>
      <c r="F631" s="125" t="str">
        <f t="shared" si="45"/>
        <v xml:space="preserve"> </v>
      </c>
    </row>
    <row r="632" spans="1:6" x14ac:dyDescent="0.2">
      <c r="A632" s="39" t="str">
        <f>CONCATENATE(42002 +  (ROW()-510) * 50,":",42003 +  (ROW()-510) * 50)</f>
        <v>48102:48103</v>
      </c>
      <c r="B632" s="40" t="s">
        <v>730</v>
      </c>
      <c r="C632" s="125"/>
      <c r="D632" s="125"/>
      <c r="E632" s="125"/>
      <c r="F632" s="125"/>
    </row>
    <row r="633" spans="1:6" x14ac:dyDescent="0.2">
      <c r="A633" s="39" t="str">
        <f>CONCATENATE(42000 +  (ROW()-509) * 50,":",42001 +  (ROW()-509) * 50)</f>
        <v>48200:48201</v>
      </c>
      <c r="B633" s="40" t="s">
        <v>731</v>
      </c>
      <c r="C633" s="125" t="str">
        <f t="shared" si="45"/>
        <v>ENGINE AIR MANIFOLD Left</v>
      </c>
      <c r="D633" s="125" t="str">
        <f t="shared" si="45"/>
        <v xml:space="preserve"> </v>
      </c>
      <c r="E633" s="125" t="str">
        <f t="shared" si="45"/>
        <v xml:space="preserve"> </v>
      </c>
      <c r="F633" s="125" t="str">
        <f t="shared" si="45"/>
        <v xml:space="preserve"> </v>
      </c>
    </row>
    <row r="634" spans="1:6" x14ac:dyDescent="0.2">
      <c r="A634" s="39" t="str">
        <f>CONCATENATE(42002 +  (ROW()-510) * 50,":",42003 +  (ROW()-510) * 50)</f>
        <v>48202:48203</v>
      </c>
      <c r="B634" s="40" t="s">
        <v>732</v>
      </c>
      <c r="C634" s="125"/>
      <c r="D634" s="125"/>
      <c r="E634" s="125"/>
      <c r="F634" s="125"/>
    </row>
    <row r="635" spans="1:6" x14ac:dyDescent="0.2">
      <c r="A635" s="39" t="str">
        <f>CONCATENATE(42000 +  (ROW()-509) * 50,":",42001 +  (ROW()-509) * 50)</f>
        <v>48300:48301</v>
      </c>
      <c r="B635" s="40" t="s">
        <v>733</v>
      </c>
      <c r="C635" s="125" t="str">
        <f t="shared" si="45"/>
        <v>ENGINE AIR MANIFOLD Right</v>
      </c>
      <c r="D635" s="125" t="str">
        <f t="shared" si="45"/>
        <v xml:space="preserve"> </v>
      </c>
      <c r="E635" s="125" t="str">
        <f t="shared" si="45"/>
        <v xml:space="preserve"> </v>
      </c>
      <c r="F635" s="125" t="str">
        <f t="shared" si="45"/>
        <v xml:space="preserve"> </v>
      </c>
    </row>
    <row r="636" spans="1:6" x14ac:dyDescent="0.2">
      <c r="A636" s="39" t="str">
        <f>CONCATENATE(42002 +  (ROW()-510) * 50,":",42003 +  (ROW()-510) * 50)</f>
        <v>48302:48303</v>
      </c>
      <c r="B636" s="40" t="s">
        <v>734</v>
      </c>
      <c r="C636" s="125"/>
      <c r="D636" s="125"/>
      <c r="E636" s="125"/>
      <c r="F636" s="125"/>
    </row>
    <row r="637" spans="1:6" x14ac:dyDescent="0.2">
      <c r="A637" s="39" t="str">
        <f>CONCATENATE(42000 +  (ROW()-509) * 50,":",42001 +  (ROW()-509) * 50)</f>
        <v>48400:48401</v>
      </c>
      <c r="B637" s="40" t="s">
        <v>807</v>
      </c>
      <c r="C637" s="125" t="str">
        <f>C132</f>
        <v>N/A</v>
      </c>
      <c r="D637" s="125" t="str">
        <f t="shared" ref="D637:F637" si="46">D132</f>
        <v>N/A</v>
      </c>
      <c r="E637" s="125" t="str">
        <f t="shared" si="46"/>
        <v xml:space="preserve"> </v>
      </c>
      <c r="F637" s="125" t="str">
        <f t="shared" si="46"/>
        <v xml:space="preserve"> </v>
      </c>
    </row>
    <row r="638" spans="1:6" x14ac:dyDescent="0.2">
      <c r="A638" s="39" t="str">
        <f>CONCATENATE(42002 +  (ROW()-510) * 50,":",42003 +  (ROW()-510) * 50)</f>
        <v>48402:48403</v>
      </c>
      <c r="B638" s="40" t="s">
        <v>808</v>
      </c>
      <c r="C638" s="125"/>
      <c r="D638" s="125"/>
      <c r="E638" s="125"/>
      <c r="F638" s="125"/>
    </row>
    <row r="639" spans="1:6" x14ac:dyDescent="0.2">
      <c r="A639" s="39" t="str">
        <f>CONCATENATE(42000 +  (ROW()-509) * 50,":",42001 +  (ROW()-509) * 50)</f>
        <v>48500:48501</v>
      </c>
      <c r="B639" s="40" t="s">
        <v>809</v>
      </c>
      <c r="C639" s="125" t="str">
        <f>C134</f>
        <v>N/A</v>
      </c>
      <c r="D639" s="125" t="str">
        <f t="shared" ref="D639:F639" si="47">D134</f>
        <v>N/A</v>
      </c>
      <c r="E639" s="125" t="str">
        <f t="shared" si="47"/>
        <v xml:space="preserve"> </v>
      </c>
      <c r="F639" s="125" t="str">
        <f t="shared" si="47"/>
        <v xml:space="preserve"> </v>
      </c>
    </row>
    <row r="640" spans="1:6" x14ac:dyDescent="0.2">
      <c r="A640" s="39" t="str">
        <f>CONCATENATE(42002 +  (ROW()-510) * 50,":",42003 +  (ROW()-510) * 50)</f>
        <v>48502:48503</v>
      </c>
      <c r="B640" s="40" t="s">
        <v>810</v>
      </c>
      <c r="C640" s="125"/>
      <c r="D640" s="125"/>
      <c r="E640" s="125"/>
      <c r="F640" s="125"/>
    </row>
    <row r="641" spans="1:6" x14ac:dyDescent="0.2">
      <c r="A641" s="39" t="str">
        <f t="shared" ref="A641" si="48">CONCATENATE(42000 +  (ROW()-509) * 50,":",42001 +  (ROW()-509) * 50)</f>
        <v>48600:48601</v>
      </c>
      <c r="B641" s="40" t="s">
        <v>811</v>
      </c>
      <c r="C641" s="125" t="str">
        <f t="shared" ref="C641:F641" si="49">C136</f>
        <v>N/A</v>
      </c>
      <c r="D641" s="125" t="str">
        <f t="shared" si="49"/>
        <v>N/A</v>
      </c>
      <c r="E641" s="125" t="str">
        <f t="shared" si="49"/>
        <v xml:space="preserve"> </v>
      </c>
      <c r="F641" s="125" t="str">
        <f t="shared" si="49"/>
        <v xml:space="preserve"> </v>
      </c>
    </row>
    <row r="642" spans="1:6" x14ac:dyDescent="0.2">
      <c r="A642" s="39" t="str">
        <f t="shared" ref="A642" si="50">CONCATENATE(42002 +  (ROW()-510) * 50,":",42003 +  (ROW()-510) * 50)</f>
        <v>48602:48603</v>
      </c>
      <c r="B642" s="40" t="s">
        <v>812</v>
      </c>
      <c r="C642" s="125"/>
      <c r="D642" s="125"/>
      <c r="E642" s="125"/>
      <c r="F642" s="125"/>
    </row>
    <row r="643" spans="1:6" x14ac:dyDescent="0.2">
      <c r="A643" s="39" t="str">
        <f t="shared" ref="A643" si="51">CONCATENATE(42000 +  (ROW()-509) * 50,":",42001 +  (ROW()-509) * 50)</f>
        <v>48700:48701</v>
      </c>
      <c r="B643" s="40" t="s">
        <v>813</v>
      </c>
      <c r="C643" s="125" t="str">
        <f t="shared" ref="C643:F643" si="52">C138</f>
        <v>N/A</v>
      </c>
      <c r="D643" s="125" t="str">
        <f t="shared" si="52"/>
        <v>N/A</v>
      </c>
      <c r="E643" s="125" t="str">
        <f t="shared" si="52"/>
        <v xml:space="preserve"> </v>
      </c>
      <c r="F643" s="125" t="str">
        <f t="shared" si="52"/>
        <v xml:space="preserve"> </v>
      </c>
    </row>
    <row r="644" spans="1:6" x14ac:dyDescent="0.2">
      <c r="A644" s="39" t="str">
        <f t="shared" ref="A644" si="53">CONCATENATE(42002 +  (ROW()-510) * 50,":",42003 +  (ROW()-510) * 50)</f>
        <v>48702:48703</v>
      </c>
      <c r="B644" s="40" t="s">
        <v>814</v>
      </c>
      <c r="C644" s="125"/>
      <c r="D644" s="125"/>
      <c r="E644" s="125"/>
      <c r="F644" s="125"/>
    </row>
    <row r="645" spans="1:6" x14ac:dyDescent="0.2">
      <c r="A645" s="39" t="str">
        <f t="shared" ref="A645" si="54">CONCATENATE(42000 +  (ROW()-509) * 50,":",42001 +  (ROW()-509) * 50)</f>
        <v>48800:48801</v>
      </c>
      <c r="B645" s="40" t="s">
        <v>815</v>
      </c>
      <c r="C645" s="125" t="str">
        <f t="shared" ref="C645:F645" si="55">C140</f>
        <v>N/A</v>
      </c>
      <c r="D645" s="125" t="str">
        <f t="shared" si="55"/>
        <v>N/A</v>
      </c>
      <c r="E645" s="125" t="str">
        <f t="shared" si="55"/>
        <v xml:space="preserve"> </v>
      </c>
      <c r="F645" s="125" t="str">
        <f t="shared" si="55"/>
        <v xml:space="preserve"> </v>
      </c>
    </row>
    <row r="646" spans="1:6" x14ac:dyDescent="0.2">
      <c r="A646" s="39" t="str">
        <f t="shared" ref="A646" si="56">CONCATENATE(42002 +  (ROW()-510) * 50,":",42003 +  (ROW()-510) * 50)</f>
        <v>48802:48803</v>
      </c>
      <c r="B646" s="40" t="s">
        <v>816</v>
      </c>
      <c r="C646" s="125"/>
      <c r="D646" s="125"/>
      <c r="E646" s="125"/>
      <c r="F646" s="125"/>
    </row>
    <row r="647" spans="1:6" x14ac:dyDescent="0.2">
      <c r="A647" s="39" t="str">
        <f t="shared" ref="A647" si="57">CONCATENATE(42000 +  (ROW()-509) * 50,":",42001 +  (ROW()-509) * 50)</f>
        <v>48900:48901</v>
      </c>
      <c r="B647" s="40" t="s">
        <v>817</v>
      </c>
      <c r="C647" s="125" t="str">
        <f t="shared" ref="C647:F647" si="58">C142</f>
        <v>N/A</v>
      </c>
      <c r="D647" s="125" t="str">
        <f t="shared" si="58"/>
        <v>N/A</v>
      </c>
      <c r="E647" s="125" t="str">
        <f t="shared" si="58"/>
        <v xml:space="preserve"> </v>
      </c>
      <c r="F647" s="125" t="str">
        <f t="shared" si="58"/>
        <v xml:space="preserve"> </v>
      </c>
    </row>
    <row r="648" spans="1:6" x14ac:dyDescent="0.2">
      <c r="A648" s="39" t="str">
        <f t="shared" ref="A648" si="59">CONCATENATE(42002 +  (ROW()-510) * 50,":",42003 +  (ROW()-510) * 50)</f>
        <v>48902:48903</v>
      </c>
      <c r="B648" s="40" t="s">
        <v>818</v>
      </c>
      <c r="C648" s="125"/>
      <c r="D648" s="125"/>
      <c r="E648" s="125"/>
      <c r="F648" s="125"/>
    </row>
    <row r="649" spans="1:6" x14ac:dyDescent="0.2">
      <c r="A649" s="39" t="str">
        <f t="shared" ref="A649" si="60">CONCATENATE(42000 +  (ROW()-509) * 50,":",42001 +  (ROW()-509) * 50)</f>
        <v>49000:49001</v>
      </c>
      <c r="B649" s="40" t="s">
        <v>819</v>
      </c>
      <c r="C649" s="125" t="str">
        <f t="shared" ref="C649:F649" si="61">C144</f>
        <v>N/A</v>
      </c>
      <c r="D649" s="125" t="str">
        <f t="shared" si="61"/>
        <v>N/A</v>
      </c>
      <c r="E649" s="125" t="str">
        <f t="shared" si="61"/>
        <v xml:space="preserve"> </v>
      </c>
      <c r="F649" s="125" t="str">
        <f t="shared" si="61"/>
        <v xml:space="preserve"> </v>
      </c>
    </row>
    <row r="650" spans="1:6" x14ac:dyDescent="0.2">
      <c r="A650" s="39" t="str">
        <f t="shared" ref="A650" si="62">CONCATENATE(42002 +  (ROW()-510) * 50,":",42003 +  (ROW()-510) * 50)</f>
        <v>49002:49003</v>
      </c>
      <c r="B650" s="40" t="s">
        <v>820</v>
      </c>
      <c r="C650" s="125"/>
      <c r="D650" s="125"/>
      <c r="E650" s="125"/>
      <c r="F650" s="125"/>
    </row>
    <row r="651" spans="1:6" x14ac:dyDescent="0.2">
      <c r="A651" s="39" t="str">
        <f t="shared" ref="A651" si="63">CONCATENATE(42000 +  (ROW()-509) * 50,":",42001 +  (ROW()-509) * 50)</f>
        <v>49100:49101</v>
      </c>
      <c r="B651" s="40" t="s">
        <v>821</v>
      </c>
      <c r="C651" s="125" t="str">
        <f t="shared" ref="C651:F651" si="64">C146</f>
        <v>N/A</v>
      </c>
      <c r="D651" s="125" t="str">
        <f t="shared" si="64"/>
        <v>N/A</v>
      </c>
      <c r="E651" s="125" t="str">
        <f t="shared" si="64"/>
        <v xml:space="preserve"> </v>
      </c>
      <c r="F651" s="125" t="str">
        <f t="shared" si="64"/>
        <v xml:space="preserve"> </v>
      </c>
    </row>
    <row r="652" spans="1:6" x14ac:dyDescent="0.2">
      <c r="A652" s="39" t="str">
        <f t="shared" ref="A652" si="65">CONCATENATE(42002 +  (ROW()-510) * 50,":",42003 +  (ROW()-510) * 50)</f>
        <v>49102:49103</v>
      </c>
      <c r="B652" s="40" t="s">
        <v>822</v>
      </c>
      <c r="C652" s="125"/>
      <c r="D652" s="125"/>
      <c r="E652" s="125"/>
      <c r="F652" s="125"/>
    </row>
    <row r="653" spans="1:6" x14ac:dyDescent="0.2">
      <c r="A653" s="39" t="str">
        <f t="shared" ref="A653" si="66">CONCATENATE(42000 +  (ROW()-509) * 50,":",42001 +  (ROW()-509) * 50)</f>
        <v>49200:49201</v>
      </c>
      <c r="B653" s="40" t="s">
        <v>823</v>
      </c>
      <c r="C653" s="125" t="str">
        <f t="shared" ref="C653:F653" si="67">C148</f>
        <v>N/A</v>
      </c>
      <c r="D653" s="125" t="str">
        <f t="shared" si="67"/>
        <v>N/A</v>
      </c>
      <c r="E653" s="125" t="str">
        <f t="shared" si="67"/>
        <v xml:space="preserve"> </v>
      </c>
      <c r="F653" s="125" t="str">
        <f t="shared" si="67"/>
        <v xml:space="preserve"> </v>
      </c>
    </row>
    <row r="654" spans="1:6" x14ac:dyDescent="0.2">
      <c r="A654" s="39" t="str">
        <f t="shared" ref="A654" si="68">CONCATENATE(42002 +  (ROW()-510) * 50,":",42003 +  (ROW()-510) * 50)</f>
        <v>49202:49203</v>
      </c>
      <c r="B654" s="40" t="s">
        <v>824</v>
      </c>
      <c r="C654" s="125"/>
      <c r="D654" s="125"/>
      <c r="E654" s="125"/>
      <c r="F654" s="125"/>
    </row>
    <row r="655" spans="1:6" x14ac:dyDescent="0.2">
      <c r="A655" s="39" t="str">
        <f t="shared" ref="A655" si="69">CONCATENATE(42000 +  (ROW()-509) * 50,":",42001 +  (ROW()-509) * 50)</f>
        <v>49300:49301</v>
      </c>
      <c r="B655" s="40" t="s">
        <v>825</v>
      </c>
      <c r="C655" s="125" t="str">
        <f t="shared" ref="C655:F655" si="70">C150</f>
        <v>N/A</v>
      </c>
      <c r="D655" s="125" t="str">
        <f t="shared" si="70"/>
        <v>N/A</v>
      </c>
      <c r="E655" s="125" t="str">
        <f t="shared" si="70"/>
        <v xml:space="preserve"> </v>
      </c>
      <c r="F655" s="125" t="str">
        <f t="shared" si="70"/>
        <v xml:space="preserve"> </v>
      </c>
    </row>
    <row r="656" spans="1:6" x14ac:dyDescent="0.2">
      <c r="A656" s="39" t="str">
        <f t="shared" ref="A656" si="71">CONCATENATE(42002 +  (ROW()-510) * 50,":",42003 +  (ROW()-510) * 50)</f>
        <v>49302:49303</v>
      </c>
      <c r="B656" s="40" t="s">
        <v>826</v>
      </c>
      <c r="C656" s="125"/>
      <c r="D656" s="125"/>
      <c r="E656" s="125"/>
      <c r="F656" s="125"/>
    </row>
    <row r="657" spans="1:6" x14ac:dyDescent="0.2">
      <c r="A657" s="39" t="str">
        <f t="shared" ref="A657" si="72">CONCATENATE(42000 +  (ROW()-509) * 50,":",42001 +  (ROW()-509) * 50)</f>
        <v>49400:49401</v>
      </c>
      <c r="B657" s="40" t="s">
        <v>827</v>
      </c>
      <c r="C657" s="125" t="str">
        <f t="shared" ref="C657:F657" si="73">C152</f>
        <v>N/A</v>
      </c>
      <c r="D657" s="125" t="str">
        <f t="shared" si="73"/>
        <v>N/A</v>
      </c>
      <c r="E657" s="125" t="str">
        <f t="shared" si="73"/>
        <v xml:space="preserve"> </v>
      </c>
      <c r="F657" s="125" t="str">
        <f t="shared" si="73"/>
        <v xml:space="preserve"> </v>
      </c>
    </row>
    <row r="658" spans="1:6" x14ac:dyDescent="0.2">
      <c r="A658" s="39" t="str">
        <f t="shared" ref="A658" si="74">CONCATENATE(42002 +  (ROW()-510) * 50,":",42003 +  (ROW()-510) * 50)</f>
        <v>49402:49403</v>
      </c>
      <c r="B658" s="40" t="s">
        <v>828</v>
      </c>
      <c r="C658" s="125"/>
      <c r="D658" s="125"/>
      <c r="E658" s="125"/>
      <c r="F658" s="125"/>
    </row>
    <row r="659" spans="1:6" x14ac:dyDescent="0.2">
      <c r="A659" s="39" t="str">
        <f t="shared" ref="A659" si="75">CONCATENATE(42000 +  (ROW()-509) * 50,":",42001 +  (ROW()-509) * 50)</f>
        <v>49500:49501</v>
      </c>
      <c r="B659" s="40" t="s">
        <v>829</v>
      </c>
      <c r="C659" s="125" t="str">
        <f t="shared" ref="C659:F659" si="76">C154</f>
        <v>N/A</v>
      </c>
      <c r="D659" s="125" t="str">
        <f t="shared" si="76"/>
        <v>N/A</v>
      </c>
      <c r="E659" s="125" t="str">
        <f t="shared" si="76"/>
        <v xml:space="preserve"> </v>
      </c>
      <c r="F659" s="125" t="str">
        <f t="shared" si="76"/>
        <v xml:space="preserve"> </v>
      </c>
    </row>
    <row r="660" spans="1:6" x14ac:dyDescent="0.2">
      <c r="A660" s="39" t="str">
        <f t="shared" ref="A660" si="77">CONCATENATE(42002 +  (ROW()-510) * 50,":",42003 +  (ROW()-510) * 50)</f>
        <v>49502:49503</v>
      </c>
      <c r="B660" s="40" t="s">
        <v>830</v>
      </c>
      <c r="C660" s="125"/>
      <c r="D660" s="125"/>
      <c r="E660" s="125"/>
      <c r="F660" s="125"/>
    </row>
    <row r="661" spans="1:6" x14ac:dyDescent="0.2">
      <c r="A661" s="39" t="str">
        <f t="shared" ref="A661" si="78">CONCATENATE(42000 +  (ROW()-509) * 50,":",42001 +  (ROW()-509) * 50)</f>
        <v>49600:49601</v>
      </c>
      <c r="B661" s="40" t="s">
        <v>831</v>
      </c>
      <c r="C661" s="125" t="str">
        <f t="shared" ref="C661:F661" si="79">C156</f>
        <v>N/A</v>
      </c>
      <c r="D661" s="125" t="str">
        <f t="shared" si="79"/>
        <v>N/A</v>
      </c>
      <c r="E661" s="125" t="str">
        <f t="shared" si="79"/>
        <v xml:space="preserve"> </v>
      </c>
      <c r="F661" s="125" t="str">
        <f t="shared" si="79"/>
        <v xml:space="preserve"> </v>
      </c>
    </row>
    <row r="662" spans="1:6" x14ac:dyDescent="0.2">
      <c r="A662" s="39" t="str">
        <f t="shared" ref="A662" si="80">CONCATENATE(42002 +  (ROW()-510) * 50,":",42003 +  (ROW()-510) * 50)</f>
        <v>49602:49603</v>
      </c>
      <c r="B662" s="40" t="s">
        <v>832</v>
      </c>
      <c r="C662" s="125"/>
      <c r="D662" s="125"/>
      <c r="E662" s="125"/>
      <c r="F662" s="125"/>
    </row>
    <row r="663" spans="1:6" x14ac:dyDescent="0.2">
      <c r="A663" s="39" t="str">
        <f t="shared" ref="A663" si="81">CONCATENATE(42000 +  (ROW()-509) * 50,":",42001 +  (ROW()-509) * 50)</f>
        <v>49700:49701</v>
      </c>
      <c r="B663" s="40" t="s">
        <v>833</v>
      </c>
      <c r="C663" s="125" t="str">
        <f t="shared" ref="C663:F663" si="82">C158</f>
        <v>N/A</v>
      </c>
      <c r="D663" s="125" t="str">
        <f t="shared" si="82"/>
        <v>N/A</v>
      </c>
      <c r="E663" s="125" t="str">
        <f t="shared" si="82"/>
        <v xml:space="preserve"> </v>
      </c>
      <c r="F663" s="125" t="str">
        <f t="shared" si="82"/>
        <v xml:space="preserve"> </v>
      </c>
    </row>
    <row r="664" spans="1:6" x14ac:dyDescent="0.2">
      <c r="A664" s="39" t="str">
        <f t="shared" ref="A664" si="83">CONCATENATE(42002 +  (ROW()-510) * 50,":",42003 +  (ROW()-510) * 50)</f>
        <v>49702:49703</v>
      </c>
      <c r="B664" s="40" t="s">
        <v>834</v>
      </c>
      <c r="C664" s="125"/>
      <c r="D664" s="125"/>
      <c r="E664" s="125"/>
      <c r="F664" s="125"/>
    </row>
    <row r="665" spans="1:6" x14ac:dyDescent="0.2">
      <c r="A665" s="39" t="str">
        <f t="shared" ref="A665" si="84">CONCATENATE(42000 +  (ROW()-509) * 50,":",42001 +  (ROW()-509) * 50)</f>
        <v>49800:49801</v>
      </c>
      <c r="B665" s="40" t="s">
        <v>835</v>
      </c>
      <c r="C665" s="125" t="str">
        <f t="shared" ref="C665:F665" si="85">C160</f>
        <v>N/A</v>
      </c>
      <c r="D665" s="125" t="str">
        <f t="shared" si="85"/>
        <v>N/A</v>
      </c>
      <c r="E665" s="125" t="str">
        <f t="shared" si="85"/>
        <v xml:space="preserve"> </v>
      </c>
      <c r="F665" s="125" t="str">
        <f t="shared" si="85"/>
        <v xml:space="preserve"> </v>
      </c>
    </row>
    <row r="666" spans="1:6" x14ac:dyDescent="0.2">
      <c r="A666" s="39" t="str">
        <f t="shared" ref="A666" si="86">CONCATENATE(42002 +  (ROW()-510) * 50,":",42003 +  (ROW()-510) * 50)</f>
        <v>49802:49803</v>
      </c>
      <c r="B666" s="40" t="s">
        <v>836</v>
      </c>
      <c r="C666" s="125"/>
      <c r="D666" s="125"/>
      <c r="E666" s="125"/>
      <c r="F666" s="125"/>
    </row>
    <row r="667" spans="1:6" x14ac:dyDescent="0.2">
      <c r="A667" s="39" t="str">
        <f t="shared" ref="A667" si="87">CONCATENATE(42000 +  (ROW()-509) * 50,":",42001 +  (ROW()-509) * 50)</f>
        <v>49900:49901</v>
      </c>
      <c r="B667" s="40" t="s">
        <v>837</v>
      </c>
      <c r="C667" s="125" t="str">
        <f t="shared" ref="C667:F667" si="88">C162</f>
        <v>N/A</v>
      </c>
      <c r="D667" s="125" t="str">
        <f t="shared" si="88"/>
        <v>N/A</v>
      </c>
      <c r="E667" s="125" t="str">
        <f t="shared" si="88"/>
        <v xml:space="preserve"> </v>
      </c>
      <c r="F667" s="125" t="str">
        <f t="shared" si="88"/>
        <v xml:space="preserve"> </v>
      </c>
    </row>
    <row r="668" spans="1:6" x14ac:dyDescent="0.2">
      <c r="A668" s="39" t="str">
        <f t="shared" ref="A668" si="89">CONCATENATE(42002 +  (ROW()-510) * 50,":",42003 +  (ROW()-510) * 50)</f>
        <v>49902:49903</v>
      </c>
      <c r="B668" s="40" t="s">
        <v>838</v>
      </c>
      <c r="C668" s="125"/>
      <c r="D668" s="125"/>
      <c r="E668" s="125"/>
      <c r="F668" s="125"/>
    </row>
    <row r="669" spans="1:6" x14ac:dyDescent="0.2">
      <c r="A669" s="39" t="str">
        <f t="shared" ref="A669" si="90">CONCATENATE(42000 +  (ROW()-509) * 50,":",42001 +  (ROW()-509) * 50)</f>
        <v>50000:50001</v>
      </c>
      <c r="B669" s="40" t="s">
        <v>839</v>
      </c>
      <c r="C669" s="125" t="str">
        <f t="shared" ref="C669:F669" si="91">C164</f>
        <v>N/A</v>
      </c>
      <c r="D669" s="125" t="str">
        <f t="shared" si="91"/>
        <v>N/A</v>
      </c>
      <c r="E669" s="125" t="str">
        <f t="shared" si="91"/>
        <v xml:space="preserve"> </v>
      </c>
      <c r="F669" s="125" t="str">
        <f t="shared" si="91"/>
        <v xml:space="preserve"> </v>
      </c>
    </row>
    <row r="670" spans="1:6" x14ac:dyDescent="0.2">
      <c r="A670" s="39" t="str">
        <f t="shared" ref="A670" si="92">CONCATENATE(42002 +  (ROW()-510) * 50,":",42003 +  (ROW()-510) * 50)</f>
        <v>50002:50003</v>
      </c>
      <c r="B670" s="40" t="s">
        <v>840</v>
      </c>
      <c r="C670" s="125"/>
      <c r="D670" s="125"/>
      <c r="E670" s="125"/>
      <c r="F670" s="125"/>
    </row>
    <row r="671" spans="1:6" x14ac:dyDescent="0.2">
      <c r="A671" s="39" t="str">
        <f t="shared" ref="A671" si="93">CONCATENATE(42000 +  (ROW()-509) * 50,":",42001 +  (ROW()-509) * 50)</f>
        <v>50100:50101</v>
      </c>
      <c r="B671" s="40" t="s">
        <v>841</v>
      </c>
      <c r="C671" s="125" t="str">
        <f t="shared" ref="C671:F671" si="94">C166</f>
        <v>N/A</v>
      </c>
      <c r="D671" s="125" t="str">
        <f t="shared" si="94"/>
        <v>N/A</v>
      </c>
      <c r="E671" s="125" t="str">
        <f t="shared" si="94"/>
        <v xml:space="preserve"> </v>
      </c>
      <c r="F671" s="125" t="str">
        <f t="shared" si="94"/>
        <v xml:space="preserve"> </v>
      </c>
    </row>
    <row r="672" spans="1:6" x14ac:dyDescent="0.2">
      <c r="A672" s="39" t="str">
        <f t="shared" ref="A672" si="95">CONCATENATE(42002 +  (ROW()-510) * 50,":",42003 +  (ROW()-510) * 50)</f>
        <v>50102:50103</v>
      </c>
      <c r="B672" s="40" t="s">
        <v>842</v>
      </c>
      <c r="C672" s="125"/>
      <c r="D672" s="125"/>
      <c r="E672" s="125"/>
      <c r="F672" s="125"/>
    </row>
    <row r="673" spans="1:6" x14ac:dyDescent="0.2">
      <c r="A673" s="39" t="str">
        <f t="shared" ref="A673" si="96">CONCATENATE(42000 +  (ROW()-509) * 50,":",42001 +  (ROW()-509) * 50)</f>
        <v>50200:50201</v>
      </c>
      <c r="B673" s="40" t="s">
        <v>843</v>
      </c>
      <c r="C673" s="125" t="str">
        <f t="shared" ref="C673:F673" si="97">C168</f>
        <v>N/A</v>
      </c>
      <c r="D673" s="125" t="str">
        <f t="shared" si="97"/>
        <v>N/A</v>
      </c>
      <c r="E673" s="125" t="str">
        <f t="shared" si="97"/>
        <v xml:space="preserve"> </v>
      </c>
      <c r="F673" s="125" t="str">
        <f t="shared" si="97"/>
        <v xml:space="preserve"> </v>
      </c>
    </row>
    <row r="674" spans="1:6" x14ac:dyDescent="0.2">
      <c r="A674" s="39" t="str">
        <f t="shared" ref="A674" si="98">CONCATENATE(42002 +  (ROW()-510) * 50,":",42003 +  (ROW()-510) * 50)</f>
        <v>50202:50203</v>
      </c>
      <c r="B674" s="40" t="s">
        <v>844</v>
      </c>
      <c r="C674" s="125"/>
      <c r="D674" s="125"/>
      <c r="E674" s="125"/>
      <c r="F674" s="125"/>
    </row>
    <row r="675" spans="1:6" x14ac:dyDescent="0.2">
      <c r="A675" s="39" t="str">
        <f t="shared" ref="A675" si="99">CONCATENATE(42000 +  (ROW()-509) * 50,":",42001 +  (ROW()-509) * 50)</f>
        <v>50300:50301</v>
      </c>
      <c r="B675" s="40" t="s">
        <v>845</v>
      </c>
      <c r="C675" s="125" t="str">
        <f t="shared" ref="C675:F675" si="100">C170</f>
        <v>N/A</v>
      </c>
      <c r="D675" s="125" t="str">
        <f t="shared" si="100"/>
        <v>N/A</v>
      </c>
      <c r="E675" s="125" t="str">
        <f t="shared" si="100"/>
        <v xml:space="preserve"> </v>
      </c>
      <c r="F675" s="125" t="str">
        <f t="shared" si="100"/>
        <v xml:space="preserve"> </v>
      </c>
    </row>
    <row r="676" spans="1:6" x14ac:dyDescent="0.2">
      <c r="A676" s="39" t="str">
        <f t="shared" ref="A676" si="101">CONCATENATE(42002 +  (ROW()-510) * 50,":",42003 +  (ROW()-510) * 50)</f>
        <v>50302:50303</v>
      </c>
      <c r="B676" s="40" t="s">
        <v>846</v>
      </c>
      <c r="C676" s="125"/>
      <c r="D676" s="125"/>
      <c r="E676" s="125"/>
      <c r="F676" s="125"/>
    </row>
    <row r="677" spans="1:6" x14ac:dyDescent="0.2">
      <c r="A677" s="39" t="str">
        <f t="shared" ref="A677" si="102">CONCATENATE(42000 +  (ROW()-509) * 50,":",42001 +  (ROW()-509) * 50)</f>
        <v>50400:50401</v>
      </c>
      <c r="B677" s="40" t="s">
        <v>847</v>
      </c>
      <c r="C677" s="125" t="str">
        <f t="shared" ref="C677:F677" si="103">C172</f>
        <v>N/A</v>
      </c>
      <c r="D677" s="125" t="str">
        <f t="shared" si="103"/>
        <v>N/A</v>
      </c>
      <c r="E677" s="125" t="str">
        <f t="shared" si="103"/>
        <v xml:space="preserve"> </v>
      </c>
      <c r="F677" s="125" t="str">
        <f t="shared" si="103"/>
        <v xml:space="preserve"> </v>
      </c>
    </row>
    <row r="678" spans="1:6" x14ac:dyDescent="0.2">
      <c r="A678" s="39" t="str">
        <f t="shared" ref="A678" si="104">CONCATENATE(42002 +  (ROW()-510) * 50,":",42003 +  (ROW()-510) * 50)</f>
        <v>50402:50403</v>
      </c>
      <c r="B678" s="40" t="s">
        <v>848</v>
      </c>
      <c r="C678" s="125"/>
      <c r="D678" s="125"/>
      <c r="E678" s="125"/>
      <c r="F678" s="125"/>
    </row>
    <row r="679" spans="1:6" x14ac:dyDescent="0.2">
      <c r="A679" s="39" t="str">
        <f t="shared" ref="A679" si="105">CONCATENATE(42000 +  (ROW()-509) * 50,":",42001 +  (ROW()-509) * 50)</f>
        <v>50500:50501</v>
      </c>
      <c r="B679" s="40" t="s">
        <v>849</v>
      </c>
      <c r="C679" s="125" t="str">
        <f t="shared" ref="C679:F679" si="106">C174</f>
        <v>N/A</v>
      </c>
      <c r="D679" s="125" t="str">
        <f t="shared" si="106"/>
        <v>N/A</v>
      </c>
      <c r="E679" s="125" t="str">
        <f t="shared" si="106"/>
        <v xml:space="preserve"> </v>
      </c>
      <c r="F679" s="125" t="str">
        <f t="shared" si="106"/>
        <v xml:space="preserve"> </v>
      </c>
    </row>
    <row r="680" spans="1:6" x14ac:dyDescent="0.2">
      <c r="A680" s="39" t="str">
        <f t="shared" ref="A680" si="107">CONCATENATE(42002 +  (ROW()-510) * 50,":",42003 +  (ROW()-510) * 50)</f>
        <v>50502:50503</v>
      </c>
      <c r="B680" s="40" t="s">
        <v>850</v>
      </c>
      <c r="C680" s="125"/>
      <c r="D680" s="125"/>
      <c r="E680" s="125"/>
      <c r="F680" s="125"/>
    </row>
    <row r="681" spans="1:6" x14ac:dyDescent="0.2">
      <c r="A681" s="39" t="str">
        <f t="shared" ref="A681" si="108">CONCATENATE(42000 +  (ROW()-509) * 50,":",42001 +  (ROW()-509) * 50)</f>
        <v>50600:50601</v>
      </c>
      <c r="B681" s="40" t="s">
        <v>851</v>
      </c>
      <c r="C681" s="125" t="str">
        <f t="shared" ref="C681:F681" si="109">C176</f>
        <v>N/A</v>
      </c>
      <c r="D681" s="125" t="str">
        <f t="shared" si="109"/>
        <v>N/A</v>
      </c>
      <c r="E681" s="125" t="str">
        <f t="shared" si="109"/>
        <v xml:space="preserve"> </v>
      </c>
      <c r="F681" s="125" t="str">
        <f t="shared" si="109"/>
        <v xml:space="preserve"> </v>
      </c>
    </row>
    <row r="682" spans="1:6" x14ac:dyDescent="0.2">
      <c r="A682" s="39" t="str">
        <f t="shared" ref="A682" si="110">CONCATENATE(42002 +  (ROW()-510) * 50,":",42003 +  (ROW()-510) * 50)</f>
        <v>50602:50603</v>
      </c>
      <c r="B682" s="40" t="s">
        <v>852</v>
      </c>
      <c r="C682" s="125"/>
      <c r="D682" s="125"/>
      <c r="E682" s="125"/>
      <c r="F682" s="125"/>
    </row>
    <row r="683" spans="1:6" x14ac:dyDescent="0.2">
      <c r="A683" s="39" t="str">
        <f t="shared" ref="A683" si="111">CONCATENATE(42000 +  (ROW()-509) * 50,":",42001 +  (ROW()-509) * 50)</f>
        <v>50700:50701</v>
      </c>
      <c r="B683" s="40" t="s">
        <v>853</v>
      </c>
      <c r="C683" s="125" t="str">
        <f t="shared" ref="C683:F683" si="112">C178</f>
        <v>N/A</v>
      </c>
      <c r="D683" s="125" t="str">
        <f t="shared" si="112"/>
        <v>N/A</v>
      </c>
      <c r="E683" s="125" t="str">
        <f t="shared" si="112"/>
        <v xml:space="preserve"> </v>
      </c>
      <c r="F683" s="125" t="str">
        <f t="shared" si="112"/>
        <v xml:space="preserve"> </v>
      </c>
    </row>
    <row r="684" spans="1:6" x14ac:dyDescent="0.2">
      <c r="A684" s="39" t="str">
        <f t="shared" ref="A684" si="113">CONCATENATE(42002 +  (ROW()-510) * 50,":",42003 +  (ROW()-510) * 50)</f>
        <v>50702:50703</v>
      </c>
      <c r="B684" s="40" t="s">
        <v>854</v>
      </c>
      <c r="C684" s="125"/>
      <c r="D684" s="125"/>
      <c r="E684" s="125"/>
      <c r="F684" s="125"/>
    </row>
    <row r="685" spans="1:6" x14ac:dyDescent="0.2">
      <c r="A685" s="39" t="str">
        <f t="shared" ref="A685" si="114">CONCATENATE(42000 +  (ROW()-509) * 50,":",42001 +  (ROW()-509) * 50)</f>
        <v>50800:50801</v>
      </c>
      <c r="B685" s="40" t="s">
        <v>855</v>
      </c>
      <c r="C685" s="125" t="str">
        <f t="shared" ref="C685:F685" si="115">C180</f>
        <v>N/A</v>
      </c>
      <c r="D685" s="125" t="str">
        <f t="shared" si="115"/>
        <v>N/A</v>
      </c>
      <c r="E685" s="125" t="str">
        <f t="shared" si="115"/>
        <v xml:space="preserve"> </v>
      </c>
      <c r="F685" s="125" t="str">
        <f t="shared" si="115"/>
        <v xml:space="preserve"> </v>
      </c>
    </row>
    <row r="686" spans="1:6" x14ac:dyDescent="0.2">
      <c r="A686" s="39" t="str">
        <f t="shared" ref="A686" si="116">CONCATENATE(42002 +  (ROW()-510) * 50,":",42003 +  (ROW()-510) * 50)</f>
        <v>50802:50803</v>
      </c>
      <c r="B686" s="40" t="s">
        <v>856</v>
      </c>
      <c r="C686" s="125"/>
      <c r="D686" s="125"/>
      <c r="E686" s="125"/>
      <c r="F686" s="125"/>
    </row>
    <row r="687" spans="1:6" x14ac:dyDescent="0.2">
      <c r="A687" s="39" t="str">
        <f t="shared" ref="A687" si="117">CONCATENATE(42000 +  (ROW()-509) * 50,":",42001 +  (ROW()-509) * 50)</f>
        <v>50900:50901</v>
      </c>
      <c r="B687" s="40" t="s">
        <v>857</v>
      </c>
      <c r="C687" s="125" t="str">
        <f t="shared" ref="C687:F687" si="118">C182</f>
        <v>N/A</v>
      </c>
      <c r="D687" s="125" t="str">
        <f t="shared" si="118"/>
        <v>N/A</v>
      </c>
      <c r="E687" s="125" t="str">
        <f t="shared" si="118"/>
        <v xml:space="preserve"> </v>
      </c>
      <c r="F687" s="125" t="str">
        <f t="shared" si="118"/>
        <v xml:space="preserve"> </v>
      </c>
    </row>
    <row r="688" spans="1:6" x14ac:dyDescent="0.2">
      <c r="A688" s="39" t="str">
        <f t="shared" ref="A688" si="119">CONCATENATE(42002 +  (ROW()-510) * 50,":",42003 +  (ROW()-510) * 50)</f>
        <v>50902:50903</v>
      </c>
      <c r="B688" s="40" t="s">
        <v>858</v>
      </c>
      <c r="C688" s="125"/>
      <c r="D688" s="125"/>
      <c r="E688" s="125"/>
      <c r="F688" s="125"/>
    </row>
    <row r="689" spans="1:6" x14ac:dyDescent="0.2">
      <c r="A689" s="39" t="str">
        <f t="shared" ref="A689" si="120">CONCATENATE(42000 +  (ROW()-509) * 50,":",42001 +  (ROW()-509) * 50)</f>
        <v>51000:51001</v>
      </c>
      <c r="B689" s="40" t="s">
        <v>859</v>
      </c>
      <c r="C689" s="125" t="str">
        <f t="shared" ref="C689:F689" si="121">C184</f>
        <v>N/A</v>
      </c>
      <c r="D689" s="125" t="str">
        <f t="shared" si="121"/>
        <v>N/A</v>
      </c>
      <c r="E689" s="125" t="str">
        <f t="shared" si="121"/>
        <v xml:space="preserve"> </v>
      </c>
      <c r="F689" s="125" t="str">
        <f t="shared" si="121"/>
        <v xml:space="preserve"> </v>
      </c>
    </row>
    <row r="690" spans="1:6" x14ac:dyDescent="0.2">
      <c r="A690" s="39" t="str">
        <f t="shared" ref="A690" si="122">CONCATENATE(42002 +  (ROW()-510) * 50,":",42003 +  (ROW()-510) * 50)</f>
        <v>51002:51003</v>
      </c>
      <c r="B690" s="40" t="s">
        <v>860</v>
      </c>
      <c r="C690" s="125"/>
      <c r="D690" s="125"/>
      <c r="E690" s="125"/>
      <c r="F690" s="125"/>
    </row>
    <row r="691" spans="1:6" x14ac:dyDescent="0.2">
      <c r="A691" s="39" t="str">
        <f t="shared" ref="A691" si="123">CONCATENATE(42000 +  (ROW()-509) * 50,":",42001 +  (ROW()-509) * 50)</f>
        <v>51100:51101</v>
      </c>
      <c r="B691" s="40" t="s">
        <v>861</v>
      </c>
      <c r="C691" s="125" t="str">
        <f t="shared" ref="C691:F691" si="124">C186</f>
        <v>N/A</v>
      </c>
      <c r="D691" s="125" t="str">
        <f t="shared" si="124"/>
        <v>N/A</v>
      </c>
      <c r="E691" s="125" t="str">
        <f t="shared" si="124"/>
        <v xml:space="preserve"> </v>
      </c>
      <c r="F691" s="125" t="str">
        <f t="shared" si="124"/>
        <v xml:space="preserve"> </v>
      </c>
    </row>
    <row r="692" spans="1:6" x14ac:dyDescent="0.2">
      <c r="A692" s="39" t="str">
        <f t="shared" ref="A692" si="125">CONCATENATE(42002 +  (ROW()-510) * 50,":",42003 +  (ROW()-510) * 50)</f>
        <v>51102:51103</v>
      </c>
      <c r="B692" s="40" t="s">
        <v>862</v>
      </c>
      <c r="C692" s="125"/>
      <c r="D692" s="125"/>
      <c r="E692" s="125"/>
      <c r="F692" s="125"/>
    </row>
    <row r="693" spans="1:6" x14ac:dyDescent="0.2">
      <c r="A693" s="39" t="str">
        <f t="shared" ref="A693" si="126">CONCATENATE(42000 +  (ROW()-509) * 50,":",42001 +  (ROW()-509) * 50)</f>
        <v>51200:51201</v>
      </c>
      <c r="B693" s="40" t="s">
        <v>863</v>
      </c>
      <c r="C693" s="125" t="str">
        <f t="shared" ref="C693:F693" si="127">C188</f>
        <v>N/A</v>
      </c>
      <c r="D693" s="125" t="str">
        <f t="shared" si="127"/>
        <v>N/A</v>
      </c>
      <c r="E693" s="125" t="str">
        <f t="shared" si="127"/>
        <v xml:space="preserve"> </v>
      </c>
      <c r="F693" s="125" t="str">
        <f t="shared" si="127"/>
        <v xml:space="preserve"> </v>
      </c>
    </row>
    <row r="694" spans="1:6" x14ac:dyDescent="0.2">
      <c r="A694" s="39" t="str">
        <f t="shared" ref="A694" si="128">CONCATENATE(42002 +  (ROW()-510) * 50,":",42003 +  (ROW()-510) * 50)</f>
        <v>51202:51203</v>
      </c>
      <c r="B694" s="40" t="s">
        <v>864</v>
      </c>
      <c r="C694" s="125"/>
      <c r="D694" s="125"/>
      <c r="E694" s="125"/>
      <c r="F694" s="125"/>
    </row>
    <row r="695" spans="1:6" x14ac:dyDescent="0.2">
      <c r="A695" s="39" t="str">
        <f t="shared" ref="A695" si="129">CONCATENATE(42000 +  (ROW()-509) * 50,":",42001 +  (ROW()-509) * 50)</f>
        <v>51300:51301</v>
      </c>
      <c r="B695" s="40" t="s">
        <v>865</v>
      </c>
      <c r="C695" s="125" t="str">
        <f t="shared" ref="C695:F695" si="130">C190</f>
        <v>N/A</v>
      </c>
      <c r="D695" s="125" t="str">
        <f t="shared" si="130"/>
        <v>N/A</v>
      </c>
      <c r="E695" s="125" t="str">
        <f t="shared" si="130"/>
        <v xml:space="preserve"> </v>
      </c>
      <c r="F695" s="125" t="str">
        <f t="shared" si="130"/>
        <v xml:space="preserve"> </v>
      </c>
    </row>
    <row r="696" spans="1:6" x14ac:dyDescent="0.2">
      <c r="A696" s="39" t="str">
        <f t="shared" ref="A696" si="131">CONCATENATE(42002 +  (ROW()-510) * 50,":",42003 +  (ROW()-510) * 50)</f>
        <v>51302:51303</v>
      </c>
      <c r="B696" s="40" t="s">
        <v>866</v>
      </c>
      <c r="C696" s="125"/>
      <c r="D696" s="125"/>
      <c r="E696" s="125"/>
      <c r="F696" s="125"/>
    </row>
    <row r="697" spans="1:6" x14ac:dyDescent="0.2">
      <c r="A697" s="39" t="str">
        <f t="shared" ref="A697" si="132">CONCATENATE(42000 +  (ROW()-509) * 50,":",42001 +  (ROW()-509) * 50)</f>
        <v>51400:51401</v>
      </c>
      <c r="B697" s="40" t="s">
        <v>867</v>
      </c>
      <c r="C697" s="125" t="str">
        <f t="shared" ref="C697:F697" si="133">C192</f>
        <v>N/A</v>
      </c>
      <c r="D697" s="125" t="str">
        <f t="shared" si="133"/>
        <v>N/A</v>
      </c>
      <c r="E697" s="125" t="str">
        <f t="shared" si="133"/>
        <v xml:space="preserve"> </v>
      </c>
      <c r="F697" s="125" t="str">
        <f t="shared" si="133"/>
        <v xml:space="preserve"> </v>
      </c>
    </row>
    <row r="698" spans="1:6" x14ac:dyDescent="0.2">
      <c r="A698" s="39" t="str">
        <f t="shared" ref="A698" si="134">CONCATENATE(42002 +  (ROW()-510) * 50,":",42003 +  (ROW()-510) * 50)</f>
        <v>51402:51403</v>
      </c>
      <c r="B698" s="40" t="s">
        <v>868</v>
      </c>
      <c r="C698" s="125"/>
      <c r="D698" s="125"/>
      <c r="E698" s="125"/>
      <c r="F698" s="125"/>
    </row>
    <row r="699" spans="1:6" x14ac:dyDescent="0.2">
      <c r="A699" s="39" t="str">
        <f t="shared" ref="A699" si="135">CONCATENATE(42000 +  (ROW()-509) * 50,":",42001 +  (ROW()-509) * 50)</f>
        <v>51500:51501</v>
      </c>
      <c r="B699" s="40" t="s">
        <v>869</v>
      </c>
      <c r="C699" s="125" t="str">
        <f t="shared" ref="C699:F699" si="136">C194</f>
        <v>N/A</v>
      </c>
      <c r="D699" s="125" t="str">
        <f t="shared" si="136"/>
        <v>N/A</v>
      </c>
      <c r="E699" s="125" t="str">
        <f t="shared" si="136"/>
        <v xml:space="preserve"> </v>
      </c>
      <c r="F699" s="125" t="str">
        <f t="shared" si="136"/>
        <v xml:space="preserve"> </v>
      </c>
    </row>
    <row r="700" spans="1:6" x14ac:dyDescent="0.2">
      <c r="A700" s="39" t="str">
        <f t="shared" ref="A700" si="137">CONCATENATE(42002 +  (ROW()-510) * 50,":",42003 +  (ROW()-510) * 50)</f>
        <v>51502:51503</v>
      </c>
      <c r="B700" s="40" t="s">
        <v>870</v>
      </c>
      <c r="C700" s="125"/>
      <c r="D700" s="125"/>
      <c r="E700" s="125"/>
      <c r="F700" s="125"/>
    </row>
    <row r="701" spans="1:6" x14ac:dyDescent="0.2">
      <c r="A701" s="39" t="str">
        <f t="shared" ref="A701" si="138">CONCATENATE(42000 +  (ROW()-509) * 50,":",42001 +  (ROW()-509) * 50)</f>
        <v>51600:51601</v>
      </c>
      <c r="B701" s="40" t="s">
        <v>871</v>
      </c>
      <c r="C701" s="125" t="str">
        <f>C196</f>
        <v>N/A</v>
      </c>
      <c r="D701" s="125" t="str">
        <f t="shared" ref="D701:F701" si="139">D196</f>
        <v>N/A</v>
      </c>
      <c r="E701" s="125" t="str">
        <f t="shared" si="139"/>
        <v xml:space="preserve"> </v>
      </c>
      <c r="F701" s="125" t="str">
        <f t="shared" si="139"/>
        <v xml:space="preserve"> </v>
      </c>
    </row>
    <row r="702" spans="1:6" x14ac:dyDescent="0.2">
      <c r="A702" s="39" t="str">
        <f t="shared" ref="A702" si="140">CONCATENATE(42002 +  (ROW()-510) * 50,":",42003 +  (ROW()-510) * 50)</f>
        <v>51602:51603</v>
      </c>
      <c r="B702" s="40" t="s">
        <v>872</v>
      </c>
      <c r="C702" s="125"/>
      <c r="D702" s="125"/>
      <c r="E702" s="125"/>
      <c r="F702" s="125"/>
    </row>
    <row r="703" spans="1:6" x14ac:dyDescent="0.2">
      <c r="A703" s="39" t="str">
        <f t="shared" ref="A703" si="141">CONCATENATE(42000 +  (ROW()-509) * 50,":",42001 +  (ROW()-509) * 50)</f>
        <v>51700:51701</v>
      </c>
      <c r="B703" s="40" t="s">
        <v>873</v>
      </c>
      <c r="C703" s="125" t="str">
        <f>C198</f>
        <v>N/A</v>
      </c>
      <c r="D703" s="125" t="str">
        <f t="shared" ref="D703:F703" si="142">D198</f>
        <v>N/A</v>
      </c>
      <c r="E703" s="125" t="str">
        <f t="shared" si="142"/>
        <v xml:space="preserve"> </v>
      </c>
      <c r="F703" s="125" t="str">
        <f t="shared" si="142"/>
        <v xml:space="preserve"> </v>
      </c>
    </row>
    <row r="704" spans="1:6" x14ac:dyDescent="0.2">
      <c r="A704" s="39" t="str">
        <f t="shared" ref="A704" si="143">CONCATENATE(42002 +  (ROW()-510) * 50,":",42003 +  (ROW()-510) * 50)</f>
        <v>51702:51703</v>
      </c>
      <c r="B704" s="40" t="s">
        <v>874</v>
      </c>
      <c r="C704" s="125"/>
      <c r="D704" s="125"/>
      <c r="E704" s="125"/>
      <c r="F704" s="125"/>
    </row>
    <row r="705" spans="1:6" x14ac:dyDescent="0.2">
      <c r="A705" s="39" t="str">
        <f t="shared" ref="A705" si="144">CONCATENATE(42000 +  (ROW()-509) * 50,":",42001 +  (ROW()-509) * 50)</f>
        <v>51800:51801</v>
      </c>
      <c r="B705" s="40" t="s">
        <v>875</v>
      </c>
      <c r="C705" s="125" t="str">
        <f t="shared" ref="C705:F705" si="145">C200</f>
        <v>N/A</v>
      </c>
      <c r="D705" s="125" t="str">
        <f t="shared" si="145"/>
        <v>N/A</v>
      </c>
      <c r="E705" s="125" t="str">
        <f t="shared" si="145"/>
        <v xml:space="preserve"> </v>
      </c>
      <c r="F705" s="125" t="str">
        <f t="shared" si="145"/>
        <v xml:space="preserve"> </v>
      </c>
    </row>
    <row r="706" spans="1:6" x14ac:dyDescent="0.2">
      <c r="A706" s="39" t="str">
        <f t="shared" ref="A706" si="146">CONCATENATE(42002 +  (ROW()-510) * 50,":",42003 +  (ROW()-510) * 50)</f>
        <v>51802:51803</v>
      </c>
      <c r="B706" s="40" t="s">
        <v>876</v>
      </c>
      <c r="C706" s="125"/>
      <c r="D706" s="125"/>
      <c r="E706" s="125"/>
      <c r="F706" s="125"/>
    </row>
    <row r="707" spans="1:6" x14ac:dyDescent="0.2">
      <c r="A707" s="39" t="str">
        <f t="shared" ref="A707" si="147">CONCATENATE(42000 +  (ROW()-509) * 50,":",42001 +  (ROW()-509) * 50)</f>
        <v>51900:51901</v>
      </c>
      <c r="B707" s="40" t="s">
        <v>877</v>
      </c>
      <c r="C707" s="125" t="str">
        <f t="shared" ref="C707:F707" si="148">C202</f>
        <v>N/A</v>
      </c>
      <c r="D707" s="125" t="str">
        <f t="shared" si="148"/>
        <v>N/A</v>
      </c>
      <c r="E707" s="125" t="str">
        <f t="shared" si="148"/>
        <v xml:space="preserve"> </v>
      </c>
      <c r="F707" s="125" t="str">
        <f t="shared" si="148"/>
        <v xml:space="preserve"> </v>
      </c>
    </row>
    <row r="708" spans="1:6" x14ac:dyDescent="0.2">
      <c r="A708" s="39" t="str">
        <f t="shared" ref="A708" si="149">CONCATENATE(42002 +  (ROW()-510) * 50,":",42003 +  (ROW()-510) * 50)</f>
        <v>51902:51903</v>
      </c>
      <c r="B708" s="40" t="s">
        <v>878</v>
      </c>
      <c r="C708" s="125"/>
      <c r="D708" s="125"/>
      <c r="E708" s="125"/>
      <c r="F708" s="125"/>
    </row>
    <row r="709" spans="1:6" x14ac:dyDescent="0.2">
      <c r="A709" s="39" t="str">
        <f t="shared" ref="A709" si="150">CONCATENATE(42000 +  (ROW()-509) * 50,":",42001 +  (ROW()-509) * 50)</f>
        <v>52000:52001</v>
      </c>
      <c r="B709" s="40" t="s">
        <v>879</v>
      </c>
      <c r="C709" s="125" t="str">
        <f t="shared" ref="C709:F709" si="151">C204</f>
        <v>N/A</v>
      </c>
      <c r="D709" s="125" t="str">
        <f t="shared" si="151"/>
        <v>N/A</v>
      </c>
      <c r="E709" s="125" t="str">
        <f t="shared" si="151"/>
        <v xml:space="preserve"> </v>
      </c>
      <c r="F709" s="125" t="str">
        <f t="shared" si="151"/>
        <v xml:space="preserve"> </v>
      </c>
    </row>
    <row r="710" spans="1:6" x14ac:dyDescent="0.2">
      <c r="A710" s="39" t="str">
        <f t="shared" ref="A710" si="152">CONCATENATE(42002 +  (ROW()-510) * 50,":",42003 +  (ROW()-510) * 50)</f>
        <v>52002:52003</v>
      </c>
      <c r="B710" s="40" t="s">
        <v>880</v>
      </c>
      <c r="C710" s="125"/>
      <c r="D710" s="125"/>
      <c r="E710" s="125"/>
      <c r="F710" s="125"/>
    </row>
    <row r="711" spans="1:6" x14ac:dyDescent="0.2">
      <c r="A711" s="39" t="str">
        <f t="shared" ref="A711" si="153">CONCATENATE(42000 +  (ROW()-509) * 50,":",42001 +  (ROW()-509) * 50)</f>
        <v>52100:52101</v>
      </c>
      <c r="B711" s="40" t="s">
        <v>881</v>
      </c>
      <c r="C711" s="125" t="str">
        <f t="shared" ref="C711:F711" si="154">C206</f>
        <v>N/A</v>
      </c>
      <c r="D711" s="125" t="str">
        <f t="shared" si="154"/>
        <v>N/A</v>
      </c>
      <c r="E711" s="125" t="str">
        <f t="shared" si="154"/>
        <v xml:space="preserve"> </v>
      </c>
      <c r="F711" s="125" t="str">
        <f t="shared" si="154"/>
        <v xml:space="preserve"> </v>
      </c>
    </row>
    <row r="712" spans="1:6" x14ac:dyDescent="0.2">
      <c r="A712" s="39" t="str">
        <f t="shared" ref="A712" si="155">CONCATENATE(42002 +  (ROW()-510) * 50,":",42003 +  (ROW()-510) * 50)</f>
        <v>52102:52103</v>
      </c>
      <c r="B712" s="40" t="s">
        <v>882</v>
      </c>
      <c r="C712" s="125"/>
      <c r="D712" s="125"/>
      <c r="E712" s="125"/>
      <c r="F712" s="125"/>
    </row>
    <row r="713" spans="1:6" x14ac:dyDescent="0.2">
      <c r="A713" s="39" t="str">
        <f t="shared" ref="A713" si="156">CONCATENATE(42000 +  (ROW()-509) * 50,":",42001 +  (ROW()-509) * 50)</f>
        <v>52200:52201</v>
      </c>
      <c r="B713" s="40" t="s">
        <v>883</v>
      </c>
      <c r="C713" s="125" t="str">
        <f t="shared" ref="C713:F713" si="157">C208</f>
        <v>N/A</v>
      </c>
      <c r="D713" s="125" t="str">
        <f t="shared" si="157"/>
        <v>N/A</v>
      </c>
      <c r="E713" s="125" t="str">
        <f t="shared" si="157"/>
        <v xml:space="preserve"> </v>
      </c>
      <c r="F713" s="125" t="str">
        <f t="shared" si="157"/>
        <v xml:space="preserve"> </v>
      </c>
    </row>
    <row r="714" spans="1:6" x14ac:dyDescent="0.2">
      <c r="A714" s="39" t="str">
        <f t="shared" ref="A714" si="158">CONCATENATE(42002 +  (ROW()-510) * 50,":",42003 +  (ROW()-510) * 50)</f>
        <v>52202:52203</v>
      </c>
      <c r="B714" s="40" t="s">
        <v>884</v>
      </c>
      <c r="C714" s="125"/>
      <c r="D714" s="125"/>
      <c r="E714" s="125"/>
      <c r="F714" s="125"/>
    </row>
    <row r="715" spans="1:6" x14ac:dyDescent="0.2">
      <c r="A715" s="39" t="str">
        <f t="shared" ref="A715" si="159">CONCATENATE(42000 +  (ROW()-509) * 50,":",42001 +  (ROW()-509) * 50)</f>
        <v>52300:52301</v>
      </c>
      <c r="B715" s="40" t="s">
        <v>885</v>
      </c>
      <c r="C715" s="125" t="str">
        <f t="shared" ref="C715:F715" si="160">C210</f>
        <v>N/A</v>
      </c>
      <c r="D715" s="125" t="str">
        <f t="shared" si="160"/>
        <v>N/A</v>
      </c>
      <c r="E715" s="125" t="str">
        <f t="shared" si="160"/>
        <v xml:space="preserve"> </v>
      </c>
      <c r="F715" s="125" t="str">
        <f t="shared" si="160"/>
        <v xml:space="preserve"> </v>
      </c>
    </row>
    <row r="716" spans="1:6" x14ac:dyDescent="0.2">
      <c r="A716" s="39" t="str">
        <f t="shared" ref="A716" si="161">CONCATENATE(42002 +  (ROW()-510) * 50,":",42003 +  (ROW()-510) * 50)</f>
        <v>52302:52303</v>
      </c>
      <c r="B716" s="40" t="s">
        <v>886</v>
      </c>
      <c r="C716" s="125"/>
      <c r="D716" s="125"/>
      <c r="E716" s="125"/>
      <c r="F716" s="125"/>
    </row>
    <row r="717" spans="1:6" x14ac:dyDescent="0.2">
      <c r="A717" s="39" t="str">
        <f t="shared" ref="A717" si="162">CONCATENATE(42000 +  (ROW()-509) * 50,":",42001 +  (ROW()-509) * 50)</f>
        <v>52400:52401</v>
      </c>
      <c r="B717" s="40" t="s">
        <v>887</v>
      </c>
      <c r="C717" s="125" t="str">
        <f t="shared" ref="C717:F717" si="163">C212</f>
        <v>N/A</v>
      </c>
      <c r="D717" s="125" t="str">
        <f t="shared" si="163"/>
        <v>N/A</v>
      </c>
      <c r="E717" s="125" t="str">
        <f t="shared" si="163"/>
        <v xml:space="preserve"> </v>
      </c>
      <c r="F717" s="125" t="str">
        <f t="shared" si="163"/>
        <v xml:space="preserve"> </v>
      </c>
    </row>
    <row r="718" spans="1:6" x14ac:dyDescent="0.2">
      <c r="A718" s="39" t="str">
        <f t="shared" ref="A718" si="164">CONCATENATE(42002 +  (ROW()-510) * 50,":",42003 +  (ROW()-510) * 50)</f>
        <v>52402:52403</v>
      </c>
      <c r="B718" s="40" t="s">
        <v>888</v>
      </c>
      <c r="C718" s="125"/>
      <c r="D718" s="125"/>
      <c r="E718" s="125"/>
      <c r="F718" s="125"/>
    </row>
    <row r="719" spans="1:6" x14ac:dyDescent="0.2">
      <c r="A719" s="39" t="str">
        <f t="shared" ref="A719" si="165">CONCATENATE(42000 +  (ROW()-509) * 50,":",42001 +  (ROW()-509) * 50)</f>
        <v>52500:52501</v>
      </c>
      <c r="B719" s="40" t="s">
        <v>889</v>
      </c>
      <c r="C719" s="125" t="str">
        <f t="shared" ref="C719:F719" si="166">C214</f>
        <v>N/A</v>
      </c>
      <c r="D719" s="125" t="str">
        <f t="shared" si="166"/>
        <v>N/A</v>
      </c>
      <c r="E719" s="125" t="str">
        <f t="shared" si="166"/>
        <v xml:space="preserve"> </v>
      </c>
      <c r="F719" s="125" t="str">
        <f t="shared" si="166"/>
        <v xml:space="preserve"> </v>
      </c>
    </row>
    <row r="720" spans="1:6" x14ac:dyDescent="0.2">
      <c r="A720" s="39" t="str">
        <f t="shared" ref="A720" si="167">CONCATENATE(42002 +  (ROW()-510) * 50,":",42003 +  (ROW()-510) * 50)</f>
        <v>52502:52503</v>
      </c>
      <c r="B720" s="40" t="s">
        <v>890</v>
      </c>
      <c r="C720" s="125"/>
      <c r="D720" s="125"/>
      <c r="E720" s="125"/>
      <c r="F720" s="125"/>
    </row>
    <row r="721" spans="1:6" x14ac:dyDescent="0.2">
      <c r="A721" s="39" t="str">
        <f t="shared" ref="A721" si="168">CONCATENATE(42000 +  (ROW()-509) * 50,":",42001 +  (ROW()-509) * 50)</f>
        <v>52600:52601</v>
      </c>
      <c r="B721" s="40" t="s">
        <v>891</v>
      </c>
      <c r="C721" s="125" t="str">
        <f t="shared" ref="C721:F721" si="169">C216</f>
        <v>N/A</v>
      </c>
      <c r="D721" s="125" t="str">
        <f t="shared" si="169"/>
        <v>N/A</v>
      </c>
      <c r="E721" s="125" t="str">
        <f t="shared" si="169"/>
        <v xml:space="preserve"> </v>
      </c>
      <c r="F721" s="125" t="str">
        <f t="shared" si="169"/>
        <v xml:space="preserve"> </v>
      </c>
    </row>
    <row r="722" spans="1:6" x14ac:dyDescent="0.2">
      <c r="A722" s="39" t="str">
        <f t="shared" ref="A722" si="170">CONCATENATE(42002 +  (ROW()-510) * 50,":",42003 +  (ROW()-510) * 50)</f>
        <v>52602:52603</v>
      </c>
      <c r="B722" s="40" t="s">
        <v>892</v>
      </c>
      <c r="C722" s="125"/>
      <c r="D722" s="125"/>
      <c r="E722" s="125"/>
      <c r="F722" s="125"/>
    </row>
    <row r="723" spans="1:6" x14ac:dyDescent="0.2">
      <c r="A723" s="39" t="str">
        <f t="shared" ref="A723" si="171">CONCATENATE(42000 +  (ROW()-509) * 50,":",42001 +  (ROW()-509) * 50)</f>
        <v>52700:52701</v>
      </c>
      <c r="B723" s="40" t="s">
        <v>893</v>
      </c>
      <c r="C723" s="125" t="str">
        <f t="shared" ref="C723:F723" si="172">C218</f>
        <v>N/A</v>
      </c>
      <c r="D723" s="125" t="str">
        <f t="shared" si="172"/>
        <v>N/A</v>
      </c>
      <c r="E723" s="125" t="str">
        <f t="shared" si="172"/>
        <v xml:space="preserve"> </v>
      </c>
      <c r="F723" s="125" t="str">
        <f t="shared" si="172"/>
        <v xml:space="preserve"> </v>
      </c>
    </row>
    <row r="724" spans="1:6" x14ac:dyDescent="0.2">
      <c r="A724" s="39" t="str">
        <f t="shared" ref="A724" si="173">CONCATENATE(42002 +  (ROW()-510) * 50,":",42003 +  (ROW()-510) * 50)</f>
        <v>52702:52703</v>
      </c>
      <c r="B724" s="40" t="s">
        <v>894</v>
      </c>
      <c r="C724" s="125"/>
      <c r="D724" s="125"/>
      <c r="E724" s="125"/>
      <c r="F724" s="125"/>
    </row>
    <row r="725" spans="1:6" x14ac:dyDescent="0.2">
      <c r="A725" s="39" t="str">
        <f t="shared" ref="A725" si="174">CONCATENATE(42000 +  (ROW()-509) * 50,":",42001 +  (ROW()-509) * 50)</f>
        <v>52800:52801</v>
      </c>
      <c r="B725" s="40" t="s">
        <v>895</v>
      </c>
      <c r="C725" s="125" t="str">
        <f t="shared" ref="C725:F725" si="175">C220</f>
        <v>N/A</v>
      </c>
      <c r="D725" s="125" t="str">
        <f t="shared" si="175"/>
        <v>N/A</v>
      </c>
      <c r="E725" s="125" t="str">
        <f t="shared" si="175"/>
        <v xml:space="preserve"> </v>
      </c>
      <c r="F725" s="125" t="str">
        <f t="shared" si="175"/>
        <v xml:space="preserve"> </v>
      </c>
    </row>
    <row r="726" spans="1:6" x14ac:dyDescent="0.2">
      <c r="A726" s="39" t="str">
        <f t="shared" ref="A726" si="176">CONCATENATE(42002 +  (ROW()-510) * 50,":",42003 +  (ROW()-510) * 50)</f>
        <v>52802:52803</v>
      </c>
      <c r="B726" s="40" t="s">
        <v>896</v>
      </c>
      <c r="C726" s="125"/>
      <c r="D726" s="125"/>
      <c r="E726" s="125"/>
      <c r="F726" s="125"/>
    </row>
    <row r="727" spans="1:6" x14ac:dyDescent="0.2">
      <c r="A727" s="39" t="str">
        <f t="shared" ref="A727" si="177">CONCATENATE(42000 +  (ROW()-509) * 50,":",42001 +  (ROW()-509) * 50)</f>
        <v>52900:52901</v>
      </c>
      <c r="B727" s="40" t="s">
        <v>897</v>
      </c>
      <c r="C727" s="125" t="str">
        <f t="shared" ref="C727:F727" si="178">C222</f>
        <v>N/A</v>
      </c>
      <c r="D727" s="125" t="str">
        <f t="shared" si="178"/>
        <v>N/A</v>
      </c>
      <c r="E727" s="125" t="str">
        <f t="shared" si="178"/>
        <v xml:space="preserve"> </v>
      </c>
      <c r="F727" s="125" t="str">
        <f t="shared" si="178"/>
        <v xml:space="preserve"> </v>
      </c>
    </row>
    <row r="728" spans="1:6" x14ac:dyDescent="0.2">
      <c r="A728" s="39" t="str">
        <f t="shared" ref="A728" si="179">CONCATENATE(42002 +  (ROW()-510) * 50,":",42003 +  (ROW()-510) * 50)</f>
        <v>52902:52903</v>
      </c>
      <c r="B728" s="40" t="s">
        <v>898</v>
      </c>
      <c r="C728" s="125"/>
      <c r="D728" s="125"/>
      <c r="E728" s="125"/>
      <c r="F728" s="125"/>
    </row>
    <row r="729" spans="1:6" x14ac:dyDescent="0.2">
      <c r="A729" s="39" t="str">
        <f t="shared" ref="A729" si="180">CONCATENATE(42000 +  (ROW()-509) * 50,":",42001 +  (ROW()-509) * 50)</f>
        <v>53000:53001</v>
      </c>
      <c r="B729" s="40" t="s">
        <v>899</v>
      </c>
      <c r="C729" s="125" t="str">
        <f t="shared" ref="C729:F729" si="181">C224</f>
        <v>N/A</v>
      </c>
      <c r="D729" s="125" t="str">
        <f t="shared" si="181"/>
        <v>N/A</v>
      </c>
      <c r="E729" s="125" t="str">
        <f t="shared" si="181"/>
        <v xml:space="preserve"> </v>
      </c>
      <c r="F729" s="125" t="str">
        <f t="shared" si="181"/>
        <v xml:space="preserve"> </v>
      </c>
    </row>
    <row r="730" spans="1:6" x14ac:dyDescent="0.2">
      <c r="A730" s="39" t="str">
        <f t="shared" ref="A730" si="182">CONCATENATE(42002 +  (ROW()-510) * 50,":",42003 +  (ROW()-510) * 50)</f>
        <v>53002:53003</v>
      </c>
      <c r="B730" s="40" t="s">
        <v>900</v>
      </c>
      <c r="C730" s="125"/>
      <c r="D730" s="125"/>
      <c r="E730" s="125"/>
      <c r="F730" s="125"/>
    </row>
    <row r="731" spans="1:6" x14ac:dyDescent="0.2">
      <c r="A731" s="39" t="str">
        <f t="shared" ref="A731" si="183">CONCATENATE(42000 +  (ROW()-509) * 50,":",42001 +  (ROW()-509) * 50)</f>
        <v>53100:53101</v>
      </c>
      <c r="B731" s="40" t="s">
        <v>901</v>
      </c>
      <c r="C731" s="125" t="str">
        <f t="shared" ref="C731:F731" si="184">C226</f>
        <v>N/A</v>
      </c>
      <c r="D731" s="125" t="str">
        <f t="shared" si="184"/>
        <v>N/A</v>
      </c>
      <c r="E731" s="125" t="str">
        <f t="shared" si="184"/>
        <v xml:space="preserve"> </v>
      </c>
      <c r="F731" s="125" t="str">
        <f t="shared" si="184"/>
        <v xml:space="preserve"> </v>
      </c>
    </row>
    <row r="732" spans="1:6" x14ac:dyDescent="0.2">
      <c r="A732" s="39" t="str">
        <f t="shared" ref="A732" si="185">CONCATENATE(42002 +  (ROW()-510) * 50,":",42003 +  (ROW()-510) * 50)</f>
        <v>53102:53103</v>
      </c>
      <c r="B732" s="40" t="s">
        <v>902</v>
      </c>
      <c r="C732" s="125"/>
      <c r="D732" s="125"/>
      <c r="E732" s="125"/>
      <c r="F732" s="125"/>
    </row>
    <row r="733" spans="1:6" x14ac:dyDescent="0.2">
      <c r="A733" s="39" t="str">
        <f t="shared" ref="A733" si="186">CONCATENATE(42000 +  (ROW()-509) * 50,":",42001 +  (ROW()-509) * 50)</f>
        <v>53200:53201</v>
      </c>
      <c r="B733" s="40" t="s">
        <v>903</v>
      </c>
      <c r="C733" s="125" t="str">
        <f t="shared" ref="C733:F733" si="187">C228</f>
        <v>N/A</v>
      </c>
      <c r="D733" s="125" t="str">
        <f t="shared" si="187"/>
        <v>N/A</v>
      </c>
      <c r="E733" s="125" t="str">
        <f t="shared" si="187"/>
        <v xml:space="preserve"> </v>
      </c>
      <c r="F733" s="125" t="str">
        <f t="shared" si="187"/>
        <v xml:space="preserve"> </v>
      </c>
    </row>
    <row r="734" spans="1:6" x14ac:dyDescent="0.2">
      <c r="A734" s="39" t="str">
        <f t="shared" ref="A734" si="188">CONCATENATE(42002 +  (ROW()-510) * 50,":",42003 +  (ROW()-510) * 50)</f>
        <v>53202:53203</v>
      </c>
      <c r="B734" s="40" t="s">
        <v>904</v>
      </c>
      <c r="C734" s="125"/>
      <c r="D734" s="125"/>
      <c r="E734" s="125"/>
      <c r="F734" s="125"/>
    </row>
    <row r="735" spans="1:6" x14ac:dyDescent="0.2">
      <c r="A735" s="39" t="str">
        <f t="shared" ref="A735" si="189">CONCATENATE(42000 +  (ROW()-509) * 50,":",42001 +  (ROW()-509) * 50)</f>
        <v>53300:53301</v>
      </c>
      <c r="B735" s="40" t="s">
        <v>905</v>
      </c>
      <c r="C735" s="125" t="str">
        <f t="shared" ref="C735:F735" si="190">C230</f>
        <v>N/A</v>
      </c>
      <c r="D735" s="125" t="str">
        <f t="shared" si="190"/>
        <v>N/A</v>
      </c>
      <c r="E735" s="125" t="str">
        <f t="shared" si="190"/>
        <v xml:space="preserve"> </v>
      </c>
      <c r="F735" s="125" t="str">
        <f t="shared" si="190"/>
        <v xml:space="preserve"> </v>
      </c>
    </row>
    <row r="736" spans="1:6" x14ac:dyDescent="0.2">
      <c r="A736" s="39" t="str">
        <f t="shared" ref="A736" si="191">CONCATENATE(42002 +  (ROW()-510) * 50,":",42003 +  (ROW()-510) * 50)</f>
        <v>53302:53303</v>
      </c>
      <c r="B736" s="40" t="s">
        <v>906</v>
      </c>
      <c r="C736" s="125"/>
      <c r="D736" s="125"/>
      <c r="E736" s="125"/>
      <c r="F736" s="125"/>
    </row>
    <row r="737" spans="1:6" x14ac:dyDescent="0.2">
      <c r="A737" s="39" t="str">
        <f t="shared" ref="A737" si="192">CONCATENATE(42000 +  (ROW()-509) * 50,":",42001 +  (ROW()-509) * 50)</f>
        <v>53400:53401</v>
      </c>
      <c r="B737" s="40" t="s">
        <v>907</v>
      </c>
      <c r="C737" s="125" t="str">
        <f t="shared" ref="C737:F737" si="193">C232</f>
        <v>N/A</v>
      </c>
      <c r="D737" s="125" t="str">
        <f t="shared" si="193"/>
        <v>N/A</v>
      </c>
      <c r="E737" s="125" t="str">
        <f t="shared" si="193"/>
        <v xml:space="preserve"> </v>
      </c>
      <c r="F737" s="125" t="str">
        <f t="shared" si="193"/>
        <v xml:space="preserve"> </v>
      </c>
    </row>
    <row r="738" spans="1:6" x14ac:dyDescent="0.2">
      <c r="A738" s="39" t="str">
        <f t="shared" ref="A738" si="194">CONCATENATE(42002 +  (ROW()-510) * 50,":",42003 +  (ROW()-510) * 50)</f>
        <v>53402:53403</v>
      </c>
      <c r="B738" s="40" t="s">
        <v>908</v>
      </c>
      <c r="C738" s="125"/>
      <c r="D738" s="125"/>
      <c r="E738" s="125"/>
      <c r="F738" s="125"/>
    </row>
    <row r="739" spans="1:6" x14ac:dyDescent="0.2">
      <c r="A739" s="39" t="str">
        <f t="shared" ref="A739" si="195">CONCATENATE(42000 +  (ROW()-509) * 50,":",42001 +  (ROW()-509) * 50)</f>
        <v>53500:53501</v>
      </c>
      <c r="B739" s="40" t="s">
        <v>909</v>
      </c>
      <c r="C739" s="125" t="str">
        <f t="shared" ref="C739:F739" si="196">C234</f>
        <v>N/A</v>
      </c>
      <c r="D739" s="125" t="str">
        <f t="shared" si="196"/>
        <v>N/A</v>
      </c>
      <c r="E739" s="125" t="str">
        <f t="shared" si="196"/>
        <v xml:space="preserve"> </v>
      </c>
      <c r="F739" s="125" t="str">
        <f t="shared" si="196"/>
        <v xml:space="preserve"> </v>
      </c>
    </row>
    <row r="740" spans="1:6" x14ac:dyDescent="0.2">
      <c r="A740" s="39" t="str">
        <f t="shared" ref="A740" si="197">CONCATENATE(42002 +  (ROW()-510) * 50,":",42003 +  (ROW()-510) * 50)</f>
        <v>53502:53503</v>
      </c>
      <c r="B740" s="40" t="s">
        <v>910</v>
      </c>
      <c r="C740" s="125"/>
      <c r="D740" s="125"/>
      <c r="E740" s="125"/>
      <c r="F740" s="125"/>
    </row>
    <row r="741" spans="1:6" x14ac:dyDescent="0.2">
      <c r="A741" s="39" t="str">
        <f t="shared" ref="A741" si="198">CONCATENATE(42000 +  (ROW()-509) * 50,":",42001 +  (ROW()-509) * 50)</f>
        <v>53600:53601</v>
      </c>
      <c r="B741" s="40" t="s">
        <v>911</v>
      </c>
      <c r="C741" s="125" t="str">
        <f t="shared" ref="C741:F741" si="199">C236</f>
        <v>N/A</v>
      </c>
      <c r="D741" s="125" t="str">
        <f t="shared" si="199"/>
        <v>N/A</v>
      </c>
      <c r="E741" s="125" t="str">
        <f t="shared" si="199"/>
        <v xml:space="preserve"> </v>
      </c>
      <c r="F741" s="125" t="str">
        <f t="shared" si="199"/>
        <v xml:space="preserve"> </v>
      </c>
    </row>
    <row r="742" spans="1:6" x14ac:dyDescent="0.2">
      <c r="A742" s="39" t="str">
        <f t="shared" ref="A742" si="200">CONCATENATE(42002 +  (ROW()-510) * 50,":",42003 +  (ROW()-510) * 50)</f>
        <v>53602:53603</v>
      </c>
      <c r="B742" s="40" t="s">
        <v>912</v>
      </c>
      <c r="C742" s="125"/>
      <c r="D742" s="125"/>
      <c r="E742" s="125"/>
      <c r="F742" s="125"/>
    </row>
    <row r="743" spans="1:6" x14ac:dyDescent="0.2">
      <c r="A743" s="39" t="str">
        <f t="shared" ref="A743" si="201">CONCATENATE(42000 +  (ROW()-509) * 50,":",42001 +  (ROW()-509) * 50)</f>
        <v>53700:53701</v>
      </c>
      <c r="B743" s="40" t="s">
        <v>913</v>
      </c>
      <c r="C743" s="125" t="str">
        <f t="shared" ref="C743:F743" si="202">C238</f>
        <v>N/A</v>
      </c>
      <c r="D743" s="125" t="str">
        <f t="shared" si="202"/>
        <v>N/A</v>
      </c>
      <c r="E743" s="125" t="str">
        <f t="shared" si="202"/>
        <v xml:space="preserve"> </v>
      </c>
      <c r="F743" s="125" t="str">
        <f t="shared" si="202"/>
        <v xml:space="preserve"> </v>
      </c>
    </row>
    <row r="744" spans="1:6" x14ac:dyDescent="0.2">
      <c r="A744" s="39" t="str">
        <f t="shared" ref="A744" si="203">CONCATENATE(42002 +  (ROW()-510) * 50,":",42003 +  (ROW()-510) * 50)</f>
        <v>53702:53703</v>
      </c>
      <c r="B744" s="40" t="s">
        <v>914</v>
      </c>
      <c r="C744" s="125"/>
      <c r="D744" s="125"/>
      <c r="E744" s="125"/>
      <c r="F744" s="125"/>
    </row>
    <row r="745" spans="1:6" x14ac:dyDescent="0.2">
      <c r="A745" s="39" t="str">
        <f t="shared" ref="A745" si="204">CONCATENATE(42000 +  (ROW()-509) * 50,":",42001 +  (ROW()-509) * 50)</f>
        <v>53800:53801</v>
      </c>
      <c r="B745" s="40" t="s">
        <v>915</v>
      </c>
      <c r="C745" s="125" t="str">
        <f t="shared" ref="C745:F745" si="205">C240</f>
        <v>N/A</v>
      </c>
      <c r="D745" s="125" t="str">
        <f t="shared" si="205"/>
        <v>N/A</v>
      </c>
      <c r="E745" s="125" t="str">
        <f t="shared" si="205"/>
        <v xml:space="preserve"> </v>
      </c>
      <c r="F745" s="125" t="str">
        <f t="shared" si="205"/>
        <v xml:space="preserve"> </v>
      </c>
    </row>
    <row r="746" spans="1:6" x14ac:dyDescent="0.2">
      <c r="A746" s="39" t="str">
        <f t="shared" ref="A746" si="206">CONCATENATE(42002 +  (ROW()-510) * 50,":",42003 +  (ROW()-510) * 50)</f>
        <v>53802:53803</v>
      </c>
      <c r="B746" s="40" t="s">
        <v>916</v>
      </c>
      <c r="C746" s="125"/>
      <c r="D746" s="125"/>
      <c r="E746" s="125"/>
      <c r="F746" s="125"/>
    </row>
    <row r="747" spans="1:6" x14ac:dyDescent="0.2">
      <c r="A747" s="39" t="str">
        <f t="shared" ref="A747" si="207">CONCATENATE(42000 +  (ROW()-509) * 50,":",42001 +  (ROW()-509) * 50)</f>
        <v>53900:53901</v>
      </c>
      <c r="B747" s="40" t="s">
        <v>917</v>
      </c>
      <c r="C747" s="125" t="str">
        <f t="shared" ref="C747:F747" si="208">C242</f>
        <v>N/A</v>
      </c>
      <c r="D747" s="125" t="str">
        <f t="shared" si="208"/>
        <v>N/A</v>
      </c>
      <c r="E747" s="125" t="str">
        <f t="shared" si="208"/>
        <v xml:space="preserve"> </v>
      </c>
      <c r="F747" s="125" t="str">
        <f t="shared" si="208"/>
        <v xml:space="preserve"> </v>
      </c>
    </row>
    <row r="748" spans="1:6" x14ac:dyDescent="0.2">
      <c r="A748" s="39" t="str">
        <f t="shared" ref="A748" si="209">CONCATENATE(42002 +  (ROW()-510) * 50,":",42003 +  (ROW()-510) * 50)</f>
        <v>53902:53903</v>
      </c>
      <c r="B748" s="40" t="s">
        <v>918</v>
      </c>
      <c r="C748" s="125"/>
      <c r="D748" s="125"/>
      <c r="E748" s="125"/>
      <c r="F748" s="125"/>
    </row>
    <row r="749" spans="1:6" x14ac:dyDescent="0.2">
      <c r="A749" s="39" t="str">
        <f t="shared" ref="A749" si="210">CONCATENATE(42000 +  (ROW()-509) * 50,":",42001 +  (ROW()-509) * 50)</f>
        <v>54000:54001</v>
      </c>
      <c r="B749" s="40" t="s">
        <v>919</v>
      </c>
      <c r="C749" s="125" t="str">
        <f t="shared" ref="C749:F749" si="211">C244</f>
        <v>N/A</v>
      </c>
      <c r="D749" s="125" t="str">
        <f t="shared" si="211"/>
        <v>N/A</v>
      </c>
      <c r="E749" s="125" t="str">
        <f t="shared" si="211"/>
        <v xml:space="preserve"> </v>
      </c>
      <c r="F749" s="125" t="str">
        <f t="shared" si="211"/>
        <v xml:space="preserve"> </v>
      </c>
    </row>
    <row r="750" spans="1:6" x14ac:dyDescent="0.2">
      <c r="A750" s="39" t="str">
        <f t="shared" ref="A750" si="212">CONCATENATE(42002 +  (ROW()-510) * 50,":",42003 +  (ROW()-510) * 50)</f>
        <v>54002:54003</v>
      </c>
      <c r="B750" s="40" t="s">
        <v>920</v>
      </c>
      <c r="C750" s="125"/>
      <c r="D750" s="125"/>
      <c r="E750" s="125"/>
      <c r="F750" s="125"/>
    </row>
    <row r="751" spans="1:6" x14ac:dyDescent="0.2">
      <c r="A751" s="39" t="str">
        <f t="shared" ref="A751" si="213">CONCATENATE(42000 +  (ROW()-509) * 50,":",42001 +  (ROW()-509) * 50)</f>
        <v>54100:54101</v>
      </c>
      <c r="B751" s="40" t="s">
        <v>921</v>
      </c>
      <c r="C751" s="125" t="str">
        <f t="shared" ref="C751:F751" si="214">C246</f>
        <v>N/A</v>
      </c>
      <c r="D751" s="125" t="str">
        <f t="shared" si="214"/>
        <v>N/A</v>
      </c>
      <c r="E751" s="125" t="str">
        <f t="shared" si="214"/>
        <v xml:space="preserve"> </v>
      </c>
      <c r="F751" s="125" t="str">
        <f t="shared" si="214"/>
        <v xml:space="preserve"> </v>
      </c>
    </row>
    <row r="752" spans="1:6" x14ac:dyDescent="0.2">
      <c r="A752" s="39" t="str">
        <f t="shared" ref="A752" si="215">CONCATENATE(42002 +  (ROW()-510) * 50,":",42003 +  (ROW()-510) * 50)</f>
        <v>54102:54103</v>
      </c>
      <c r="B752" s="40" t="s">
        <v>922</v>
      </c>
      <c r="C752" s="125"/>
      <c r="D752" s="125"/>
      <c r="E752" s="125"/>
      <c r="F752" s="125"/>
    </row>
    <row r="753" spans="1:6" x14ac:dyDescent="0.2">
      <c r="A753" s="39" t="str">
        <f t="shared" ref="A753" si="216">CONCATENATE(42000 +  (ROW()-509) * 50,":",42001 +  (ROW()-509) * 50)</f>
        <v>54200:54201</v>
      </c>
      <c r="B753" s="40" t="s">
        <v>923</v>
      </c>
      <c r="C753" s="125" t="str">
        <f t="shared" ref="C753:F753" si="217">C248</f>
        <v>N/A</v>
      </c>
      <c r="D753" s="125" t="str">
        <f t="shared" si="217"/>
        <v>N/A</v>
      </c>
      <c r="E753" s="125" t="str">
        <f t="shared" si="217"/>
        <v xml:space="preserve"> </v>
      </c>
      <c r="F753" s="125" t="str">
        <f t="shared" si="217"/>
        <v xml:space="preserve"> </v>
      </c>
    </row>
    <row r="754" spans="1:6" x14ac:dyDescent="0.2">
      <c r="A754" s="39" t="str">
        <f t="shared" ref="A754" si="218">CONCATENATE(42002 +  (ROW()-510) * 50,":",42003 +  (ROW()-510) * 50)</f>
        <v>54202:54203</v>
      </c>
      <c r="B754" s="40" t="s">
        <v>924</v>
      </c>
      <c r="C754" s="125"/>
      <c r="D754" s="125"/>
      <c r="E754" s="125"/>
      <c r="F754" s="125"/>
    </row>
    <row r="755" spans="1:6" x14ac:dyDescent="0.2">
      <c r="A755" s="39" t="str">
        <f t="shared" ref="A755" si="219">CONCATENATE(42000 +  (ROW()-509) * 50,":",42001 +  (ROW()-509) * 50)</f>
        <v>54300:54301</v>
      </c>
      <c r="B755" s="40" t="s">
        <v>925</v>
      </c>
      <c r="C755" s="125" t="str">
        <f t="shared" ref="C755:F755" si="220">C250</f>
        <v>N/A</v>
      </c>
      <c r="D755" s="125" t="str">
        <f t="shared" si="220"/>
        <v>N/A</v>
      </c>
      <c r="E755" s="125" t="str">
        <f t="shared" si="220"/>
        <v xml:space="preserve"> </v>
      </c>
      <c r="F755" s="125" t="str">
        <f t="shared" si="220"/>
        <v xml:space="preserve"> </v>
      </c>
    </row>
    <row r="756" spans="1:6" x14ac:dyDescent="0.2">
      <c r="A756" s="39" t="str">
        <f t="shared" ref="A756" si="221">CONCATENATE(42002 +  (ROW()-510) * 50,":",42003 +  (ROW()-510) * 50)</f>
        <v>54302:54303</v>
      </c>
      <c r="B756" s="40" t="s">
        <v>926</v>
      </c>
      <c r="C756" s="125"/>
      <c r="D756" s="125"/>
      <c r="E756" s="125"/>
      <c r="F756" s="125"/>
    </row>
    <row r="757" spans="1:6" x14ac:dyDescent="0.2">
      <c r="A757" s="39" t="str">
        <f t="shared" ref="A757" si="222">CONCATENATE(42000 +  (ROW()-509) * 50,":",42001 +  (ROW()-509) * 50)</f>
        <v>54400:54401</v>
      </c>
      <c r="B757" s="40" t="s">
        <v>927</v>
      </c>
      <c r="C757" s="125" t="str">
        <f t="shared" ref="C757:F757" si="223">C252</f>
        <v>N/A</v>
      </c>
      <c r="D757" s="125" t="str">
        <f t="shared" si="223"/>
        <v>N/A</v>
      </c>
      <c r="E757" s="125" t="str">
        <f t="shared" si="223"/>
        <v xml:space="preserve"> </v>
      </c>
      <c r="F757" s="125" t="str">
        <f t="shared" si="223"/>
        <v xml:space="preserve"> </v>
      </c>
    </row>
    <row r="758" spans="1:6" x14ac:dyDescent="0.2">
      <c r="A758" s="39" t="str">
        <f t="shared" ref="A758" si="224">CONCATENATE(42002 +  (ROW()-510) * 50,":",42003 +  (ROW()-510) * 50)</f>
        <v>54402:54403</v>
      </c>
      <c r="B758" s="40" t="s">
        <v>928</v>
      </c>
      <c r="C758" s="125"/>
      <c r="D758" s="125"/>
      <c r="E758" s="125"/>
      <c r="F758" s="125"/>
    </row>
    <row r="759" spans="1:6" x14ac:dyDescent="0.2">
      <c r="A759" s="39" t="str">
        <f t="shared" ref="A759" si="225">CONCATENATE(42000 +  (ROW()-509) * 50,":",42001 +  (ROW()-509) * 50)</f>
        <v>54500:54501</v>
      </c>
      <c r="B759" s="40" t="s">
        <v>929</v>
      </c>
      <c r="C759" s="125" t="str">
        <f t="shared" ref="C759:F759" si="226">C254</f>
        <v>N/A</v>
      </c>
      <c r="D759" s="125" t="str">
        <f t="shared" si="226"/>
        <v>N/A</v>
      </c>
      <c r="E759" s="125" t="str">
        <f t="shared" si="226"/>
        <v xml:space="preserve"> </v>
      </c>
      <c r="F759" s="125" t="str">
        <f t="shared" si="226"/>
        <v xml:space="preserve"> </v>
      </c>
    </row>
    <row r="760" spans="1:6" x14ac:dyDescent="0.2">
      <c r="A760" s="39" t="str">
        <f t="shared" ref="A760" si="227">CONCATENATE(42002 +  (ROW()-510) * 50,":",42003 +  (ROW()-510) * 50)</f>
        <v>54502:54503</v>
      </c>
      <c r="B760" s="40" t="s">
        <v>930</v>
      </c>
      <c r="C760" s="125"/>
      <c r="D760" s="125"/>
      <c r="E760" s="125"/>
      <c r="F760" s="125"/>
    </row>
    <row r="761" spans="1:6" x14ac:dyDescent="0.2">
      <c r="A761" s="39" t="str">
        <f t="shared" ref="A761" si="228">CONCATENATE(42000 +  (ROW()-509) * 50,":",42001 +  (ROW()-509) * 50)</f>
        <v>54600:54601</v>
      </c>
      <c r="B761" s="40" t="s">
        <v>931</v>
      </c>
      <c r="C761" s="125" t="str">
        <f t="shared" ref="C761:F761" si="229">C256</f>
        <v>N/A</v>
      </c>
      <c r="D761" s="125" t="str">
        <f t="shared" si="229"/>
        <v>N/A</v>
      </c>
      <c r="E761" s="125" t="str">
        <f t="shared" si="229"/>
        <v xml:space="preserve"> </v>
      </c>
      <c r="F761" s="125" t="str">
        <f t="shared" si="229"/>
        <v xml:space="preserve"> </v>
      </c>
    </row>
    <row r="762" spans="1:6" x14ac:dyDescent="0.2">
      <c r="A762" s="39" t="str">
        <f t="shared" ref="A762" si="230">CONCATENATE(42002 +  (ROW()-510) * 50,":",42003 +  (ROW()-510) * 50)</f>
        <v>54602:54603</v>
      </c>
      <c r="B762" s="40" t="s">
        <v>932</v>
      </c>
      <c r="C762" s="125"/>
      <c r="D762" s="125"/>
      <c r="E762" s="125"/>
      <c r="F762" s="125"/>
    </row>
    <row r="763" spans="1:6" x14ac:dyDescent="0.2">
      <c r="A763" s="39" t="str">
        <f t="shared" ref="A763" si="231">CONCATENATE(42000 +  (ROW()-509) * 50,":",42001 +  (ROW()-509) * 50)</f>
        <v>54700:54701</v>
      </c>
      <c r="B763" s="40" t="s">
        <v>933</v>
      </c>
      <c r="C763" s="125" t="str">
        <f t="shared" ref="C763:F763" si="232">C258</f>
        <v>N/A</v>
      </c>
      <c r="D763" s="125" t="str">
        <f t="shared" si="232"/>
        <v>N/A</v>
      </c>
      <c r="E763" s="125" t="str">
        <f t="shared" si="232"/>
        <v xml:space="preserve"> </v>
      </c>
      <c r="F763" s="125" t="str">
        <f t="shared" si="232"/>
        <v xml:space="preserve"> </v>
      </c>
    </row>
    <row r="764" spans="1:6" x14ac:dyDescent="0.2">
      <c r="A764" s="39" t="str">
        <f t="shared" ref="A764" si="233">CONCATENATE(42002 +  (ROW()-510) * 50,":",42003 +  (ROW()-510) * 50)</f>
        <v>54702:54703</v>
      </c>
      <c r="B764" s="40" t="s">
        <v>934</v>
      </c>
      <c r="C764" s="125"/>
      <c r="D764" s="125"/>
      <c r="E764" s="125"/>
      <c r="F764" s="125"/>
    </row>
    <row r="765" spans="1:6" x14ac:dyDescent="0.2">
      <c r="A765" s="39" t="str">
        <f t="shared" ref="A765" si="234">CONCATENATE(42000 +  (ROW()-509) * 50,":",42001 +  (ROW()-509) * 50)</f>
        <v>54800:54801</v>
      </c>
      <c r="B765" s="40" t="s">
        <v>935</v>
      </c>
      <c r="C765" s="125" t="str">
        <f>C260</f>
        <v>N/A</v>
      </c>
      <c r="D765" s="125" t="str">
        <f t="shared" ref="D765:F765" si="235">D260</f>
        <v>N/A</v>
      </c>
      <c r="E765" s="125" t="str">
        <f t="shared" si="235"/>
        <v xml:space="preserve"> </v>
      </c>
      <c r="F765" s="125" t="str">
        <f t="shared" si="235"/>
        <v xml:space="preserve"> </v>
      </c>
    </row>
    <row r="766" spans="1:6" x14ac:dyDescent="0.2">
      <c r="A766" s="39" t="str">
        <f t="shared" ref="A766" si="236">CONCATENATE(42002 +  (ROW()-510) * 50,":",42003 +  (ROW()-510) * 50)</f>
        <v>54802:54803</v>
      </c>
      <c r="B766" s="40" t="s">
        <v>936</v>
      </c>
      <c r="C766" s="125"/>
      <c r="D766" s="125"/>
      <c r="E766" s="125"/>
      <c r="F766" s="125"/>
    </row>
    <row r="767" spans="1:6" x14ac:dyDescent="0.2">
      <c r="A767" s="39" t="str">
        <f t="shared" ref="A767" si="237">CONCATENATE(42000 +  (ROW()-509) * 50,":",42001 +  (ROW()-509) * 50)</f>
        <v>54900:54901</v>
      </c>
      <c r="B767" s="40" t="s">
        <v>937</v>
      </c>
      <c r="C767" s="125" t="str">
        <f>C262</f>
        <v>N/A</v>
      </c>
      <c r="D767" s="125" t="str">
        <f t="shared" ref="D767:F767" si="238">D262</f>
        <v>N/A</v>
      </c>
      <c r="E767" s="125" t="str">
        <f t="shared" si="238"/>
        <v xml:space="preserve"> </v>
      </c>
      <c r="F767" s="125" t="str">
        <f t="shared" si="238"/>
        <v xml:space="preserve"> </v>
      </c>
    </row>
    <row r="768" spans="1:6" x14ac:dyDescent="0.2">
      <c r="A768" s="39" t="str">
        <f t="shared" ref="A768" si="239">CONCATENATE(42002 +  (ROW()-510) * 50,":",42003 +  (ROW()-510) * 50)</f>
        <v>54902:54903</v>
      </c>
      <c r="B768" s="40" t="s">
        <v>938</v>
      </c>
      <c r="C768" s="125"/>
      <c r="D768" s="125"/>
      <c r="E768" s="125"/>
      <c r="F768" s="125"/>
    </row>
    <row r="769" spans="1:6" x14ac:dyDescent="0.2">
      <c r="A769" s="39" t="str">
        <f t="shared" ref="A769" si="240">CONCATENATE(42000 +  (ROW()-509) * 50,":",42001 +  (ROW()-509) * 50)</f>
        <v>55000:55001</v>
      </c>
      <c r="B769" s="40" t="s">
        <v>939</v>
      </c>
      <c r="C769" s="125" t="str">
        <f t="shared" ref="C769:F769" si="241">C264</f>
        <v>N/A</v>
      </c>
      <c r="D769" s="125" t="str">
        <f t="shared" si="241"/>
        <v>N/A</v>
      </c>
      <c r="E769" s="125" t="str">
        <f t="shared" si="241"/>
        <v xml:space="preserve"> </v>
      </c>
      <c r="F769" s="125" t="str">
        <f t="shared" si="241"/>
        <v xml:space="preserve"> </v>
      </c>
    </row>
    <row r="770" spans="1:6" x14ac:dyDescent="0.2">
      <c r="A770" s="39" t="str">
        <f t="shared" ref="A770" si="242">CONCATENATE(42002 +  (ROW()-510) * 50,":",42003 +  (ROW()-510) * 50)</f>
        <v>55002:55003</v>
      </c>
      <c r="B770" s="40" t="s">
        <v>940</v>
      </c>
      <c r="C770" s="125"/>
      <c r="D770" s="125"/>
      <c r="E770" s="125"/>
      <c r="F770" s="125"/>
    </row>
    <row r="771" spans="1:6" x14ac:dyDescent="0.2">
      <c r="A771" s="39" t="str">
        <f t="shared" ref="A771" si="243">CONCATENATE(42000 +  (ROW()-509) * 50,":",42001 +  (ROW()-509) * 50)</f>
        <v>55100:55101</v>
      </c>
      <c r="B771" s="40" t="s">
        <v>941</v>
      </c>
      <c r="C771" s="125" t="str">
        <f t="shared" ref="C771:F771" si="244">C266</f>
        <v>N/A</v>
      </c>
      <c r="D771" s="125" t="str">
        <f t="shared" si="244"/>
        <v>N/A</v>
      </c>
      <c r="E771" s="125" t="str">
        <f t="shared" si="244"/>
        <v xml:space="preserve"> </v>
      </c>
      <c r="F771" s="125" t="str">
        <f t="shared" si="244"/>
        <v xml:space="preserve"> </v>
      </c>
    </row>
    <row r="772" spans="1:6" x14ac:dyDescent="0.2">
      <c r="A772" s="39" t="str">
        <f t="shared" ref="A772" si="245">CONCATENATE(42002 +  (ROW()-510) * 50,":",42003 +  (ROW()-510) * 50)</f>
        <v>55102:55103</v>
      </c>
      <c r="B772" s="40" t="s">
        <v>942</v>
      </c>
      <c r="C772" s="125"/>
      <c r="D772" s="125"/>
      <c r="E772" s="125"/>
      <c r="F772" s="125"/>
    </row>
    <row r="773" spans="1:6" x14ac:dyDescent="0.2">
      <c r="A773" s="39" t="str">
        <f t="shared" ref="A773" si="246">CONCATENATE(42000 +  (ROW()-509) * 50,":",42001 +  (ROW()-509) * 50)</f>
        <v>55200:55201</v>
      </c>
      <c r="B773" s="40" t="s">
        <v>943</v>
      </c>
      <c r="C773" s="125" t="str">
        <f t="shared" ref="C773:F773" si="247">C268</f>
        <v>N/A</v>
      </c>
      <c r="D773" s="125" t="str">
        <f t="shared" si="247"/>
        <v>N/A</v>
      </c>
      <c r="E773" s="125" t="str">
        <f t="shared" si="247"/>
        <v xml:space="preserve"> </v>
      </c>
      <c r="F773" s="125" t="str">
        <f t="shared" si="247"/>
        <v xml:space="preserve"> </v>
      </c>
    </row>
    <row r="774" spans="1:6" x14ac:dyDescent="0.2">
      <c r="A774" s="39" t="str">
        <f t="shared" ref="A774" si="248">CONCATENATE(42002 +  (ROW()-510) * 50,":",42003 +  (ROW()-510) * 50)</f>
        <v>55202:55203</v>
      </c>
      <c r="B774" s="40" t="s">
        <v>944</v>
      </c>
      <c r="C774" s="125"/>
      <c r="D774" s="125"/>
      <c r="E774" s="125"/>
      <c r="F774" s="125"/>
    </row>
    <row r="775" spans="1:6" x14ac:dyDescent="0.2">
      <c r="A775" s="39" t="str">
        <f t="shared" ref="A775" si="249">CONCATENATE(42000 +  (ROW()-509) * 50,":",42001 +  (ROW()-509) * 50)</f>
        <v>55300:55301</v>
      </c>
      <c r="B775" s="40" t="s">
        <v>945</v>
      </c>
      <c r="C775" s="125" t="str">
        <f t="shared" ref="C775:F775" si="250">C270</f>
        <v>N/A</v>
      </c>
      <c r="D775" s="125" t="str">
        <f t="shared" si="250"/>
        <v>N/A</v>
      </c>
      <c r="E775" s="125" t="str">
        <f t="shared" si="250"/>
        <v xml:space="preserve"> </v>
      </c>
      <c r="F775" s="125" t="str">
        <f t="shared" si="250"/>
        <v xml:space="preserve"> </v>
      </c>
    </row>
    <row r="776" spans="1:6" x14ac:dyDescent="0.2">
      <c r="A776" s="39" t="str">
        <f t="shared" ref="A776" si="251">CONCATENATE(42002 +  (ROW()-510) * 50,":",42003 +  (ROW()-510) * 50)</f>
        <v>55302:55303</v>
      </c>
      <c r="B776" s="40" t="s">
        <v>946</v>
      </c>
      <c r="C776" s="125"/>
      <c r="D776" s="125"/>
      <c r="E776" s="125"/>
      <c r="F776" s="125"/>
    </row>
    <row r="777" spans="1:6" x14ac:dyDescent="0.2">
      <c r="A777" s="39" t="str">
        <f t="shared" ref="A777" si="252">CONCATENATE(42000 +  (ROW()-509) * 50,":",42001 +  (ROW()-509) * 50)</f>
        <v>55400:55401</v>
      </c>
      <c r="B777" s="40" t="s">
        <v>947</v>
      </c>
      <c r="C777" s="125" t="str">
        <f t="shared" ref="C777:F777" si="253">C272</f>
        <v>N/A</v>
      </c>
      <c r="D777" s="125" t="str">
        <f t="shared" si="253"/>
        <v>N/A</v>
      </c>
      <c r="E777" s="125" t="str">
        <f t="shared" si="253"/>
        <v xml:space="preserve"> </v>
      </c>
      <c r="F777" s="125" t="str">
        <f t="shared" si="253"/>
        <v xml:space="preserve"> </v>
      </c>
    </row>
    <row r="778" spans="1:6" x14ac:dyDescent="0.2">
      <c r="A778" s="39" t="str">
        <f t="shared" ref="A778" si="254">CONCATENATE(42002 +  (ROW()-510) * 50,":",42003 +  (ROW()-510) * 50)</f>
        <v>55402:55403</v>
      </c>
      <c r="B778" s="40" t="s">
        <v>948</v>
      </c>
      <c r="C778" s="125"/>
      <c r="D778" s="125"/>
      <c r="E778" s="125"/>
      <c r="F778" s="125"/>
    </row>
    <row r="779" spans="1:6" x14ac:dyDescent="0.2">
      <c r="A779" s="39" t="str">
        <f t="shared" ref="A779" si="255">CONCATENATE(42000 +  (ROW()-509) * 50,":",42001 +  (ROW()-509) * 50)</f>
        <v>55500:55501</v>
      </c>
      <c r="B779" s="40" t="s">
        <v>949</v>
      </c>
      <c r="C779" s="125" t="str">
        <f t="shared" ref="C779:F779" si="256">C274</f>
        <v>N/A</v>
      </c>
      <c r="D779" s="125" t="str">
        <f t="shared" si="256"/>
        <v>N/A</v>
      </c>
      <c r="E779" s="125" t="str">
        <f t="shared" si="256"/>
        <v xml:space="preserve"> </v>
      </c>
      <c r="F779" s="125" t="str">
        <f t="shared" si="256"/>
        <v xml:space="preserve"> </v>
      </c>
    </row>
    <row r="780" spans="1:6" x14ac:dyDescent="0.2">
      <c r="A780" s="39" t="str">
        <f t="shared" ref="A780" si="257">CONCATENATE(42002 +  (ROW()-510) * 50,":",42003 +  (ROW()-510) * 50)</f>
        <v>55502:55503</v>
      </c>
      <c r="B780" s="40" t="s">
        <v>950</v>
      </c>
      <c r="C780" s="125"/>
      <c r="D780" s="125"/>
      <c r="E780" s="125"/>
      <c r="F780" s="125"/>
    </row>
    <row r="781" spans="1:6" x14ac:dyDescent="0.2">
      <c r="A781" s="39" t="str">
        <f t="shared" ref="A781" si="258">CONCATENATE(42000 +  (ROW()-509) * 50,":",42001 +  (ROW()-509) * 50)</f>
        <v>55600:55601</v>
      </c>
      <c r="B781" s="40" t="s">
        <v>951</v>
      </c>
      <c r="C781" s="125" t="str">
        <f t="shared" ref="C781:F781" si="259">C276</f>
        <v>N/A</v>
      </c>
      <c r="D781" s="125" t="str">
        <f t="shared" si="259"/>
        <v>N/A</v>
      </c>
      <c r="E781" s="125" t="str">
        <f t="shared" si="259"/>
        <v xml:space="preserve"> </v>
      </c>
      <c r="F781" s="125" t="str">
        <f t="shared" si="259"/>
        <v xml:space="preserve"> </v>
      </c>
    </row>
    <row r="782" spans="1:6" x14ac:dyDescent="0.2">
      <c r="A782" s="39" t="str">
        <f t="shared" ref="A782" si="260">CONCATENATE(42002 +  (ROW()-510) * 50,":",42003 +  (ROW()-510) * 50)</f>
        <v>55602:55603</v>
      </c>
      <c r="B782" s="40" t="s">
        <v>952</v>
      </c>
      <c r="C782" s="125"/>
      <c r="D782" s="125"/>
      <c r="E782" s="125"/>
      <c r="F782" s="125"/>
    </row>
    <row r="783" spans="1:6" x14ac:dyDescent="0.2">
      <c r="A783" s="39" t="str">
        <f t="shared" ref="A783" si="261">CONCATENATE(42000 +  (ROW()-509) * 50,":",42001 +  (ROW()-509) * 50)</f>
        <v>55700:55701</v>
      </c>
      <c r="B783" s="40" t="s">
        <v>953</v>
      </c>
      <c r="C783" s="125" t="str">
        <f t="shared" ref="C783:F783" si="262">C278</f>
        <v>N/A</v>
      </c>
      <c r="D783" s="125" t="str">
        <f t="shared" si="262"/>
        <v>N/A</v>
      </c>
      <c r="E783" s="125" t="str">
        <f t="shared" si="262"/>
        <v xml:space="preserve"> </v>
      </c>
      <c r="F783" s="125" t="str">
        <f t="shared" si="262"/>
        <v xml:space="preserve"> </v>
      </c>
    </row>
    <row r="784" spans="1:6" x14ac:dyDescent="0.2">
      <c r="A784" s="39" t="str">
        <f t="shared" ref="A784" si="263">CONCATENATE(42002 +  (ROW()-510) * 50,":",42003 +  (ROW()-510) * 50)</f>
        <v>55702:55703</v>
      </c>
      <c r="B784" s="40" t="s">
        <v>954</v>
      </c>
      <c r="C784" s="125"/>
      <c r="D784" s="125"/>
      <c r="E784" s="125"/>
      <c r="F784" s="125"/>
    </row>
    <row r="785" spans="1:6" x14ac:dyDescent="0.2">
      <c r="A785" s="39" t="str">
        <f t="shared" ref="A785" si="264">CONCATENATE(42000 +  (ROW()-509) * 50,":",42001 +  (ROW()-509) * 50)</f>
        <v>55800:55801</v>
      </c>
      <c r="B785" s="40" t="s">
        <v>955</v>
      </c>
      <c r="C785" s="125" t="str">
        <f t="shared" ref="C785:F785" si="265">C280</f>
        <v>N/A</v>
      </c>
      <c r="D785" s="125" t="str">
        <f t="shared" si="265"/>
        <v>N/A</v>
      </c>
      <c r="E785" s="125" t="str">
        <f t="shared" si="265"/>
        <v xml:space="preserve"> </v>
      </c>
      <c r="F785" s="125" t="str">
        <f t="shared" si="265"/>
        <v xml:space="preserve"> </v>
      </c>
    </row>
    <row r="786" spans="1:6" x14ac:dyDescent="0.2">
      <c r="A786" s="39" t="str">
        <f t="shared" ref="A786" si="266">CONCATENATE(42002 +  (ROW()-510) * 50,":",42003 +  (ROW()-510) * 50)</f>
        <v>55802:55803</v>
      </c>
      <c r="B786" s="40" t="s">
        <v>956</v>
      </c>
      <c r="C786" s="125"/>
      <c r="D786" s="125"/>
      <c r="E786" s="125"/>
      <c r="F786" s="125"/>
    </row>
    <row r="787" spans="1:6" x14ac:dyDescent="0.2">
      <c r="A787" s="39" t="str">
        <f t="shared" ref="A787" si="267">CONCATENATE(42000 +  (ROW()-509) * 50,":",42001 +  (ROW()-509) * 50)</f>
        <v>55900:55901</v>
      </c>
      <c r="B787" s="40" t="s">
        <v>957</v>
      </c>
      <c r="C787" s="125" t="str">
        <f t="shared" ref="C787:F787" si="268">C282</f>
        <v>N/A</v>
      </c>
      <c r="D787" s="125" t="str">
        <f t="shared" si="268"/>
        <v>N/A</v>
      </c>
      <c r="E787" s="125" t="str">
        <f t="shared" si="268"/>
        <v xml:space="preserve"> </v>
      </c>
      <c r="F787" s="125" t="str">
        <f t="shared" si="268"/>
        <v xml:space="preserve"> </v>
      </c>
    </row>
    <row r="788" spans="1:6" x14ac:dyDescent="0.2">
      <c r="A788" s="39" t="str">
        <f t="shared" ref="A788" si="269">CONCATENATE(42002 +  (ROW()-510) * 50,":",42003 +  (ROW()-510) * 50)</f>
        <v>55902:55903</v>
      </c>
      <c r="B788" s="40" t="s">
        <v>958</v>
      </c>
      <c r="C788" s="125"/>
      <c r="D788" s="125"/>
      <c r="E788" s="125"/>
      <c r="F788" s="125"/>
    </row>
    <row r="789" spans="1:6" x14ac:dyDescent="0.2">
      <c r="A789" s="39" t="str">
        <f t="shared" ref="A789" si="270">CONCATENATE(42000 +  (ROW()-509) * 50,":",42001 +  (ROW()-509) * 50)</f>
        <v>56000:56001</v>
      </c>
      <c r="B789" s="40" t="s">
        <v>959</v>
      </c>
      <c r="C789" s="125" t="str">
        <f t="shared" ref="C789:F789" si="271">C284</f>
        <v>N/A</v>
      </c>
      <c r="D789" s="125" t="str">
        <f t="shared" si="271"/>
        <v>N/A</v>
      </c>
      <c r="E789" s="125" t="str">
        <f t="shared" si="271"/>
        <v xml:space="preserve"> </v>
      </c>
      <c r="F789" s="125" t="str">
        <f t="shared" si="271"/>
        <v xml:space="preserve"> </v>
      </c>
    </row>
    <row r="790" spans="1:6" x14ac:dyDescent="0.2">
      <c r="A790" s="39" t="str">
        <f t="shared" ref="A790" si="272">CONCATENATE(42002 +  (ROW()-510) * 50,":",42003 +  (ROW()-510) * 50)</f>
        <v>56002:56003</v>
      </c>
      <c r="B790" s="40" t="s">
        <v>960</v>
      </c>
      <c r="C790" s="125"/>
      <c r="D790" s="125"/>
      <c r="E790" s="125"/>
      <c r="F790" s="125"/>
    </row>
    <row r="791" spans="1:6" x14ac:dyDescent="0.2">
      <c r="A791" s="39" t="str">
        <f t="shared" ref="A791" si="273">CONCATENATE(42000 +  (ROW()-509) * 50,":",42001 +  (ROW()-509) * 50)</f>
        <v>56100:56101</v>
      </c>
      <c r="B791" s="40" t="s">
        <v>961</v>
      </c>
      <c r="C791" s="125" t="str">
        <f t="shared" ref="C791:F791" si="274">C286</f>
        <v>N/A</v>
      </c>
      <c r="D791" s="125" t="str">
        <f t="shared" si="274"/>
        <v>N/A</v>
      </c>
      <c r="E791" s="125" t="str">
        <f t="shared" si="274"/>
        <v xml:space="preserve"> </v>
      </c>
      <c r="F791" s="125" t="str">
        <f t="shared" si="274"/>
        <v xml:space="preserve"> </v>
      </c>
    </row>
    <row r="792" spans="1:6" x14ac:dyDescent="0.2">
      <c r="A792" s="39" t="str">
        <f t="shared" ref="A792" si="275">CONCATENATE(42002 +  (ROW()-510) * 50,":",42003 +  (ROW()-510) * 50)</f>
        <v>56102:56103</v>
      </c>
      <c r="B792" s="40" t="s">
        <v>962</v>
      </c>
      <c r="C792" s="125"/>
      <c r="D792" s="125"/>
      <c r="E792" s="125"/>
      <c r="F792" s="125"/>
    </row>
    <row r="793" spans="1:6" x14ac:dyDescent="0.2">
      <c r="A793" s="39" t="str">
        <f t="shared" ref="A793" si="276">CONCATENATE(42000 +  (ROW()-509) * 50,":",42001 +  (ROW()-509) * 50)</f>
        <v>56200:56201</v>
      </c>
      <c r="B793" s="40" t="s">
        <v>963</v>
      </c>
      <c r="C793" s="125" t="str">
        <f t="shared" ref="C793:F793" si="277">C288</f>
        <v>N/A</v>
      </c>
      <c r="D793" s="125" t="str">
        <f t="shared" si="277"/>
        <v>N/A</v>
      </c>
      <c r="E793" s="125" t="str">
        <f t="shared" si="277"/>
        <v xml:space="preserve"> </v>
      </c>
      <c r="F793" s="125" t="str">
        <f t="shared" si="277"/>
        <v xml:space="preserve"> </v>
      </c>
    </row>
    <row r="794" spans="1:6" x14ac:dyDescent="0.2">
      <c r="A794" s="39" t="str">
        <f t="shared" ref="A794" si="278">CONCATENATE(42002 +  (ROW()-510) * 50,":",42003 +  (ROW()-510) * 50)</f>
        <v>56202:56203</v>
      </c>
      <c r="B794" s="40" t="s">
        <v>964</v>
      </c>
      <c r="C794" s="125"/>
      <c r="D794" s="125"/>
      <c r="E794" s="125"/>
      <c r="F794" s="125"/>
    </row>
    <row r="795" spans="1:6" x14ac:dyDescent="0.2">
      <c r="A795" s="39" t="str">
        <f t="shared" ref="A795" si="279">CONCATENATE(42000 +  (ROW()-509) * 50,":",42001 +  (ROW()-509) * 50)</f>
        <v>56300:56301</v>
      </c>
      <c r="B795" s="40" t="s">
        <v>965</v>
      </c>
      <c r="C795" s="125" t="str">
        <f t="shared" ref="C795:F795" si="280">C290</f>
        <v>N/A</v>
      </c>
      <c r="D795" s="125" t="str">
        <f t="shared" si="280"/>
        <v>N/A</v>
      </c>
      <c r="E795" s="125" t="str">
        <f t="shared" si="280"/>
        <v xml:space="preserve"> </v>
      </c>
      <c r="F795" s="125" t="str">
        <f t="shared" si="280"/>
        <v xml:space="preserve"> </v>
      </c>
    </row>
    <row r="796" spans="1:6" x14ac:dyDescent="0.2">
      <c r="A796" s="39" t="str">
        <f t="shared" ref="A796" si="281">CONCATENATE(42002 +  (ROW()-510) * 50,":",42003 +  (ROW()-510) * 50)</f>
        <v>56302:56303</v>
      </c>
      <c r="B796" s="40" t="s">
        <v>966</v>
      </c>
      <c r="C796" s="125"/>
      <c r="D796" s="125"/>
      <c r="E796" s="125"/>
      <c r="F796" s="125"/>
    </row>
    <row r="797" spans="1:6" x14ac:dyDescent="0.2">
      <c r="A797" s="39" t="str">
        <f t="shared" ref="A797" si="282">CONCATENATE(42000 +  (ROW()-509) * 50,":",42001 +  (ROW()-509) * 50)</f>
        <v>56400:56401</v>
      </c>
      <c r="B797" s="40" t="s">
        <v>967</v>
      </c>
      <c r="C797" s="125" t="str">
        <f t="shared" ref="C797:F797" si="283">C292</f>
        <v>N/A</v>
      </c>
      <c r="D797" s="125" t="str">
        <f t="shared" si="283"/>
        <v>N/A</v>
      </c>
      <c r="E797" s="125" t="str">
        <f t="shared" si="283"/>
        <v xml:space="preserve"> </v>
      </c>
      <c r="F797" s="125" t="str">
        <f t="shared" si="283"/>
        <v xml:space="preserve"> </v>
      </c>
    </row>
    <row r="798" spans="1:6" x14ac:dyDescent="0.2">
      <c r="A798" s="39" t="str">
        <f t="shared" ref="A798" si="284">CONCATENATE(42002 +  (ROW()-510) * 50,":",42003 +  (ROW()-510) * 50)</f>
        <v>56402:56403</v>
      </c>
      <c r="B798" s="40" t="s">
        <v>968</v>
      </c>
      <c r="C798" s="125"/>
      <c r="D798" s="125"/>
      <c r="E798" s="125"/>
      <c r="F798" s="125"/>
    </row>
    <row r="799" spans="1:6" x14ac:dyDescent="0.2">
      <c r="A799" s="39" t="str">
        <f t="shared" ref="A799" si="285">CONCATENATE(42000 +  (ROW()-509) * 50,":",42001 +  (ROW()-509) * 50)</f>
        <v>56500:56501</v>
      </c>
      <c r="B799" s="40" t="s">
        <v>969</v>
      </c>
      <c r="C799" s="125" t="str">
        <f t="shared" ref="C799:F799" si="286">C294</f>
        <v>N/A</v>
      </c>
      <c r="D799" s="125" t="str">
        <f t="shared" si="286"/>
        <v>N/A</v>
      </c>
      <c r="E799" s="125" t="str">
        <f t="shared" si="286"/>
        <v xml:space="preserve"> </v>
      </c>
      <c r="F799" s="125" t="str">
        <f t="shared" si="286"/>
        <v xml:space="preserve"> </v>
      </c>
    </row>
    <row r="800" spans="1:6" x14ac:dyDescent="0.2">
      <c r="A800" s="39" t="str">
        <f t="shared" ref="A800" si="287">CONCATENATE(42002 +  (ROW()-510) * 50,":",42003 +  (ROW()-510) * 50)</f>
        <v>56502:56503</v>
      </c>
      <c r="B800" s="40" t="s">
        <v>970</v>
      </c>
      <c r="C800" s="125"/>
      <c r="D800" s="125"/>
      <c r="E800" s="125"/>
      <c r="F800" s="125"/>
    </row>
    <row r="801" spans="1:6" x14ac:dyDescent="0.2">
      <c r="A801" s="39" t="str">
        <f t="shared" ref="A801" si="288">CONCATENATE(42000 +  (ROW()-509) * 50,":",42001 +  (ROW()-509) * 50)</f>
        <v>56600:56601</v>
      </c>
      <c r="B801" s="40" t="s">
        <v>971</v>
      </c>
      <c r="C801" s="125" t="str">
        <f t="shared" ref="C801:F801" si="289">C296</f>
        <v>N/A</v>
      </c>
      <c r="D801" s="125" t="str">
        <f t="shared" si="289"/>
        <v>N/A</v>
      </c>
      <c r="E801" s="125" t="str">
        <f t="shared" si="289"/>
        <v xml:space="preserve"> </v>
      </c>
      <c r="F801" s="125" t="str">
        <f t="shared" si="289"/>
        <v xml:space="preserve"> </v>
      </c>
    </row>
    <row r="802" spans="1:6" x14ac:dyDescent="0.2">
      <c r="A802" s="39" t="str">
        <f t="shared" ref="A802" si="290">CONCATENATE(42002 +  (ROW()-510) * 50,":",42003 +  (ROW()-510) * 50)</f>
        <v>56602:56603</v>
      </c>
      <c r="B802" s="40" t="s">
        <v>972</v>
      </c>
      <c r="C802" s="125"/>
      <c r="D802" s="125"/>
      <c r="E802" s="125"/>
      <c r="F802" s="125"/>
    </row>
    <row r="803" spans="1:6" x14ac:dyDescent="0.2">
      <c r="A803" s="39" t="str">
        <f t="shared" ref="A803" si="291">CONCATENATE(42000 +  (ROW()-509) * 50,":",42001 +  (ROW()-509) * 50)</f>
        <v>56700:56701</v>
      </c>
      <c r="B803" s="40" t="s">
        <v>973</v>
      </c>
      <c r="C803" s="125" t="str">
        <f t="shared" ref="C803:F803" si="292">C298</f>
        <v>N/A</v>
      </c>
      <c r="D803" s="125" t="str">
        <f t="shared" si="292"/>
        <v>N/A</v>
      </c>
      <c r="E803" s="125" t="str">
        <f t="shared" si="292"/>
        <v xml:space="preserve"> </v>
      </c>
      <c r="F803" s="125" t="str">
        <f t="shared" si="292"/>
        <v xml:space="preserve"> </v>
      </c>
    </row>
    <row r="804" spans="1:6" x14ac:dyDescent="0.2">
      <c r="A804" s="39" t="str">
        <f t="shared" ref="A804" si="293">CONCATENATE(42002 +  (ROW()-510) * 50,":",42003 +  (ROW()-510) * 50)</f>
        <v>56702:56703</v>
      </c>
      <c r="B804" s="40" t="s">
        <v>974</v>
      </c>
      <c r="C804" s="125"/>
      <c r="D804" s="125"/>
      <c r="E804" s="125"/>
      <c r="F804" s="125"/>
    </row>
    <row r="805" spans="1:6" x14ac:dyDescent="0.2">
      <c r="A805" s="39" t="str">
        <f t="shared" ref="A805" si="294">CONCATENATE(42000 +  (ROW()-509) * 50,":",42001 +  (ROW()-509) * 50)</f>
        <v>56800:56801</v>
      </c>
      <c r="B805" s="40" t="s">
        <v>975</v>
      </c>
      <c r="C805" s="125" t="str">
        <f t="shared" ref="C805:F805" si="295">C300</f>
        <v>N/A</v>
      </c>
      <c r="D805" s="125" t="str">
        <f t="shared" si="295"/>
        <v>N/A</v>
      </c>
      <c r="E805" s="125" t="str">
        <f t="shared" si="295"/>
        <v xml:space="preserve"> </v>
      </c>
      <c r="F805" s="125" t="str">
        <f t="shared" si="295"/>
        <v xml:space="preserve"> </v>
      </c>
    </row>
    <row r="806" spans="1:6" x14ac:dyDescent="0.2">
      <c r="A806" s="39" t="str">
        <f t="shared" ref="A806" si="296">CONCATENATE(42002 +  (ROW()-510) * 50,":",42003 +  (ROW()-510) * 50)</f>
        <v>56802:56803</v>
      </c>
      <c r="B806" s="40" t="s">
        <v>976</v>
      </c>
      <c r="C806" s="125"/>
      <c r="D806" s="125"/>
      <c r="E806" s="125"/>
      <c r="F806" s="125"/>
    </row>
    <row r="807" spans="1:6" x14ac:dyDescent="0.2">
      <c r="A807" s="39" t="str">
        <f t="shared" ref="A807" si="297">CONCATENATE(42000 +  (ROW()-509) * 50,":",42001 +  (ROW()-509) * 50)</f>
        <v>56900:56901</v>
      </c>
      <c r="B807" s="40" t="s">
        <v>977</v>
      </c>
      <c r="C807" s="125" t="str">
        <f t="shared" ref="C807:F807" si="298">C302</f>
        <v>N/A</v>
      </c>
      <c r="D807" s="125" t="str">
        <f t="shared" si="298"/>
        <v>N/A</v>
      </c>
      <c r="E807" s="125" t="str">
        <f t="shared" si="298"/>
        <v xml:space="preserve"> </v>
      </c>
      <c r="F807" s="125" t="str">
        <f t="shared" si="298"/>
        <v xml:space="preserve"> </v>
      </c>
    </row>
    <row r="808" spans="1:6" x14ac:dyDescent="0.2">
      <c r="A808" s="39" t="str">
        <f t="shared" ref="A808" si="299">CONCATENATE(42002 +  (ROW()-510) * 50,":",42003 +  (ROW()-510) * 50)</f>
        <v>56902:56903</v>
      </c>
      <c r="B808" s="40" t="s">
        <v>978</v>
      </c>
      <c r="C808" s="125"/>
      <c r="D808" s="125"/>
      <c r="E808" s="125"/>
      <c r="F808" s="125"/>
    </row>
    <row r="809" spans="1:6" x14ac:dyDescent="0.2">
      <c r="A809" s="39" t="str">
        <f t="shared" ref="A809" si="300">CONCATENATE(42000 +  (ROW()-509) * 50,":",42001 +  (ROW()-509) * 50)</f>
        <v>57000:57001</v>
      </c>
      <c r="B809" s="40" t="s">
        <v>979</v>
      </c>
      <c r="C809" s="125" t="str">
        <f t="shared" ref="C809:F809" si="301">C304</f>
        <v>N/A</v>
      </c>
      <c r="D809" s="125" t="str">
        <f t="shared" si="301"/>
        <v>N/A</v>
      </c>
      <c r="E809" s="125" t="str">
        <f t="shared" si="301"/>
        <v xml:space="preserve"> </v>
      </c>
      <c r="F809" s="125" t="str">
        <f t="shared" si="301"/>
        <v xml:space="preserve"> </v>
      </c>
    </row>
    <row r="810" spans="1:6" x14ac:dyDescent="0.2">
      <c r="A810" s="39" t="str">
        <f t="shared" ref="A810" si="302">CONCATENATE(42002 +  (ROW()-510) * 50,":",42003 +  (ROW()-510) * 50)</f>
        <v>57002:57003</v>
      </c>
      <c r="B810" s="40" t="s">
        <v>980</v>
      </c>
      <c r="C810" s="125"/>
      <c r="D810" s="125"/>
      <c r="E810" s="125"/>
      <c r="F810" s="125"/>
    </row>
    <row r="811" spans="1:6" x14ac:dyDescent="0.2">
      <c r="A811" s="39" t="str">
        <f t="shared" ref="A811" si="303">CONCATENATE(42000 +  (ROW()-509) * 50,":",42001 +  (ROW()-509) * 50)</f>
        <v>57100:57101</v>
      </c>
      <c r="B811" s="40" t="s">
        <v>981</v>
      </c>
      <c r="C811" s="125" t="str">
        <f t="shared" ref="C811:F811" si="304">C306</f>
        <v>N/A</v>
      </c>
      <c r="D811" s="125" t="str">
        <f t="shared" si="304"/>
        <v>N/A</v>
      </c>
      <c r="E811" s="125" t="str">
        <f t="shared" si="304"/>
        <v xml:space="preserve"> </v>
      </c>
      <c r="F811" s="125" t="str">
        <f t="shared" si="304"/>
        <v xml:space="preserve"> </v>
      </c>
    </row>
    <row r="812" spans="1:6" x14ac:dyDescent="0.2">
      <c r="A812" s="39" t="str">
        <f t="shared" ref="A812" si="305">CONCATENATE(42002 +  (ROW()-510) * 50,":",42003 +  (ROW()-510) * 50)</f>
        <v>57102:57103</v>
      </c>
      <c r="B812" s="40" t="s">
        <v>982</v>
      </c>
      <c r="C812" s="125"/>
      <c r="D812" s="125"/>
      <c r="E812" s="125"/>
      <c r="F812" s="125"/>
    </row>
    <row r="813" spans="1:6" x14ac:dyDescent="0.2">
      <c r="A813" s="39" t="str">
        <f t="shared" ref="A813" si="306">CONCATENATE(42000 +  (ROW()-509) * 50,":",42001 +  (ROW()-509) * 50)</f>
        <v>57200:57201</v>
      </c>
      <c r="B813" s="40" t="s">
        <v>983</v>
      </c>
      <c r="C813" s="125" t="str">
        <f t="shared" ref="C813:F813" si="307">C308</f>
        <v>N/A</v>
      </c>
      <c r="D813" s="125" t="str">
        <f t="shared" si="307"/>
        <v>N/A</v>
      </c>
      <c r="E813" s="125" t="str">
        <f t="shared" si="307"/>
        <v xml:space="preserve"> </v>
      </c>
      <c r="F813" s="125" t="str">
        <f t="shared" si="307"/>
        <v xml:space="preserve"> </v>
      </c>
    </row>
    <row r="814" spans="1:6" x14ac:dyDescent="0.2">
      <c r="A814" s="39" t="str">
        <f t="shared" ref="A814" si="308">CONCATENATE(42002 +  (ROW()-510) * 50,":",42003 +  (ROW()-510) * 50)</f>
        <v>57202:57203</v>
      </c>
      <c r="B814" s="40" t="s">
        <v>984</v>
      </c>
      <c r="C814" s="125"/>
      <c r="D814" s="125"/>
      <c r="E814" s="125"/>
      <c r="F814" s="125"/>
    </row>
    <row r="815" spans="1:6" x14ac:dyDescent="0.2">
      <c r="A815" s="39" t="str">
        <f t="shared" ref="A815" si="309">CONCATENATE(42000 +  (ROW()-509) * 50,":",42001 +  (ROW()-509) * 50)</f>
        <v>57300:57301</v>
      </c>
      <c r="B815" s="40" t="s">
        <v>985</v>
      </c>
      <c r="C815" s="125" t="str">
        <f t="shared" ref="C815:F815" si="310">C310</f>
        <v>N/A</v>
      </c>
      <c r="D815" s="125" t="str">
        <f t="shared" si="310"/>
        <v>N/A</v>
      </c>
      <c r="E815" s="125" t="str">
        <f t="shared" si="310"/>
        <v xml:space="preserve"> </v>
      </c>
      <c r="F815" s="125" t="str">
        <f t="shared" si="310"/>
        <v xml:space="preserve"> </v>
      </c>
    </row>
    <row r="816" spans="1:6" x14ac:dyDescent="0.2">
      <c r="A816" s="39" t="str">
        <f t="shared" ref="A816" si="311">CONCATENATE(42002 +  (ROW()-510) * 50,":",42003 +  (ROW()-510) * 50)</f>
        <v>57302:57303</v>
      </c>
      <c r="B816" s="40" t="s">
        <v>986</v>
      </c>
      <c r="C816" s="125"/>
      <c r="D816" s="125"/>
      <c r="E816" s="125"/>
      <c r="F816" s="125"/>
    </row>
    <row r="817" spans="1:6" x14ac:dyDescent="0.2">
      <c r="A817" s="39" t="str">
        <f t="shared" ref="A817" si="312">CONCATENATE(42000 +  (ROW()-509) * 50,":",42001 +  (ROW()-509) * 50)</f>
        <v>57400:57401</v>
      </c>
      <c r="B817" s="40" t="s">
        <v>987</v>
      </c>
      <c r="C817" s="125" t="str">
        <f t="shared" ref="C817:F817" si="313">C312</f>
        <v>N/A</v>
      </c>
      <c r="D817" s="125" t="str">
        <f t="shared" si="313"/>
        <v>N/A</v>
      </c>
      <c r="E817" s="125" t="str">
        <f t="shared" si="313"/>
        <v xml:space="preserve"> </v>
      </c>
      <c r="F817" s="125" t="str">
        <f t="shared" si="313"/>
        <v xml:space="preserve"> </v>
      </c>
    </row>
    <row r="818" spans="1:6" x14ac:dyDescent="0.2">
      <c r="A818" s="39" t="str">
        <f t="shared" ref="A818" si="314">CONCATENATE(42002 +  (ROW()-510) * 50,":",42003 +  (ROW()-510) * 50)</f>
        <v>57402:57403</v>
      </c>
      <c r="B818" s="40" t="s">
        <v>988</v>
      </c>
      <c r="C818" s="125"/>
      <c r="D818" s="125"/>
      <c r="E818" s="125"/>
      <c r="F818" s="125"/>
    </row>
    <row r="819" spans="1:6" x14ac:dyDescent="0.2">
      <c r="A819" s="39" t="str">
        <f t="shared" ref="A819" si="315">CONCATENATE(42000 +  (ROW()-509) * 50,":",42001 +  (ROW()-509) * 50)</f>
        <v>57500:57501</v>
      </c>
      <c r="B819" s="40" t="s">
        <v>989</v>
      </c>
      <c r="C819" s="125" t="str">
        <f t="shared" ref="C819:F819" si="316">C314</f>
        <v>N/A</v>
      </c>
      <c r="D819" s="125" t="str">
        <f t="shared" si="316"/>
        <v>N/A</v>
      </c>
      <c r="E819" s="125" t="str">
        <f t="shared" si="316"/>
        <v xml:space="preserve"> </v>
      </c>
      <c r="F819" s="125" t="str">
        <f t="shared" si="316"/>
        <v xml:space="preserve"> </v>
      </c>
    </row>
    <row r="820" spans="1:6" x14ac:dyDescent="0.2">
      <c r="A820" s="39" t="str">
        <f t="shared" ref="A820" si="317">CONCATENATE(42002 +  (ROW()-510) * 50,":",42003 +  (ROW()-510) * 50)</f>
        <v>57502:57503</v>
      </c>
      <c r="B820" s="40" t="s">
        <v>990</v>
      </c>
      <c r="C820" s="125"/>
      <c r="D820" s="125"/>
      <c r="E820" s="125"/>
      <c r="F820" s="125"/>
    </row>
    <row r="821" spans="1:6" x14ac:dyDescent="0.2">
      <c r="A821" s="39" t="str">
        <f t="shared" ref="A821" si="318">CONCATENATE(42000 +  (ROW()-509) * 50,":",42001 +  (ROW()-509) * 50)</f>
        <v>57600:57601</v>
      </c>
      <c r="B821" s="40" t="s">
        <v>991</v>
      </c>
      <c r="C821" s="125" t="str">
        <f t="shared" ref="C821:F821" si="319">C316</f>
        <v>N/A</v>
      </c>
      <c r="D821" s="125" t="str">
        <f t="shared" si="319"/>
        <v>N/A</v>
      </c>
      <c r="E821" s="125" t="str">
        <f t="shared" si="319"/>
        <v xml:space="preserve"> </v>
      </c>
      <c r="F821" s="125" t="str">
        <f t="shared" si="319"/>
        <v xml:space="preserve"> </v>
      </c>
    </row>
    <row r="822" spans="1:6" x14ac:dyDescent="0.2">
      <c r="A822" s="39" t="str">
        <f t="shared" ref="A822" si="320">CONCATENATE(42002 +  (ROW()-510) * 50,":",42003 +  (ROW()-510) * 50)</f>
        <v>57602:57603</v>
      </c>
      <c r="B822" s="40" t="s">
        <v>992</v>
      </c>
      <c r="C822" s="125"/>
      <c r="D822" s="125"/>
      <c r="E822" s="125"/>
      <c r="F822" s="125"/>
    </row>
    <row r="823" spans="1:6" x14ac:dyDescent="0.2">
      <c r="A823" s="39" t="str">
        <f t="shared" ref="A823" si="321">CONCATENATE(42000 +  (ROW()-509) * 50,":",42001 +  (ROW()-509) * 50)</f>
        <v>57700:57701</v>
      </c>
      <c r="B823" s="40" t="s">
        <v>993</v>
      </c>
      <c r="C823" s="125" t="str">
        <f t="shared" ref="C823:F823" si="322">C318</f>
        <v>N/A</v>
      </c>
      <c r="D823" s="125" t="str">
        <f t="shared" si="322"/>
        <v>N/A</v>
      </c>
      <c r="E823" s="125" t="str">
        <f t="shared" si="322"/>
        <v xml:space="preserve"> </v>
      </c>
      <c r="F823" s="125" t="str">
        <f t="shared" si="322"/>
        <v xml:space="preserve"> </v>
      </c>
    </row>
    <row r="824" spans="1:6" x14ac:dyDescent="0.2">
      <c r="A824" s="39" t="str">
        <f t="shared" ref="A824" si="323">CONCATENATE(42002 +  (ROW()-510) * 50,":",42003 +  (ROW()-510) * 50)</f>
        <v>57702:57703</v>
      </c>
      <c r="B824" s="40" t="s">
        <v>994</v>
      </c>
      <c r="C824" s="125"/>
      <c r="D824" s="125"/>
      <c r="E824" s="125"/>
      <c r="F824" s="125"/>
    </row>
    <row r="825" spans="1:6" x14ac:dyDescent="0.2">
      <c r="A825" s="39" t="str">
        <f t="shared" ref="A825" si="324">CONCATENATE(42000 +  (ROW()-509) * 50,":",42001 +  (ROW()-509) * 50)</f>
        <v>57800:57801</v>
      </c>
      <c r="B825" s="40" t="s">
        <v>995</v>
      </c>
      <c r="C825" s="125" t="str">
        <f t="shared" ref="C825:F825" si="325">C320</f>
        <v>N/A</v>
      </c>
      <c r="D825" s="125" t="str">
        <f t="shared" si="325"/>
        <v>N/A</v>
      </c>
      <c r="E825" s="125" t="str">
        <f t="shared" si="325"/>
        <v xml:space="preserve"> </v>
      </c>
      <c r="F825" s="125" t="str">
        <f t="shared" si="325"/>
        <v xml:space="preserve"> </v>
      </c>
    </row>
    <row r="826" spans="1:6" x14ac:dyDescent="0.2">
      <c r="A826" s="39" t="str">
        <f t="shared" ref="A826" si="326">CONCATENATE(42002 +  (ROW()-510) * 50,":",42003 +  (ROW()-510) * 50)</f>
        <v>57802:57803</v>
      </c>
      <c r="B826" s="40" t="s">
        <v>996</v>
      </c>
      <c r="C826" s="125"/>
      <c r="D826" s="125"/>
      <c r="E826" s="125"/>
      <c r="F826" s="125"/>
    </row>
    <row r="827" spans="1:6" x14ac:dyDescent="0.2">
      <c r="A827" s="39" t="str">
        <f t="shared" ref="A827" si="327">CONCATENATE(42000 +  (ROW()-509) * 50,":",42001 +  (ROW()-509) * 50)</f>
        <v>57900:57901</v>
      </c>
      <c r="B827" s="40" t="s">
        <v>997</v>
      </c>
      <c r="C827" s="125" t="str">
        <f t="shared" ref="C827:F827" si="328">C322</f>
        <v>N/A</v>
      </c>
      <c r="D827" s="125" t="str">
        <f t="shared" si="328"/>
        <v>N/A</v>
      </c>
      <c r="E827" s="125" t="str">
        <f t="shared" si="328"/>
        <v xml:space="preserve"> </v>
      </c>
      <c r="F827" s="125" t="str">
        <f t="shared" si="328"/>
        <v xml:space="preserve"> </v>
      </c>
    </row>
    <row r="828" spans="1:6" x14ac:dyDescent="0.2">
      <c r="A828" s="39" t="str">
        <f t="shared" ref="A828" si="329">CONCATENATE(42002 +  (ROW()-510) * 50,":",42003 +  (ROW()-510) * 50)</f>
        <v>57902:57903</v>
      </c>
      <c r="B828" s="40" t="s">
        <v>998</v>
      </c>
      <c r="C828" s="125"/>
      <c r="D828" s="125"/>
      <c r="E828" s="125"/>
      <c r="F828" s="125"/>
    </row>
    <row r="829" spans="1:6" x14ac:dyDescent="0.2">
      <c r="A829" s="49"/>
    </row>
    <row r="830" spans="1:6" x14ac:dyDescent="0.2">
      <c r="A830" s="49"/>
    </row>
    <row r="831" spans="1:6" x14ac:dyDescent="0.2">
      <c r="A831" s="49"/>
    </row>
    <row r="832" spans="1:6" x14ac:dyDescent="0.2">
      <c r="A832" s="49"/>
    </row>
    <row r="833" spans="1:1" x14ac:dyDescent="0.2">
      <c r="A833" s="49"/>
    </row>
    <row r="834" spans="1:1" x14ac:dyDescent="0.2">
      <c r="A834" s="49"/>
    </row>
    <row r="835" spans="1:1" x14ac:dyDescent="0.2">
      <c r="A835" s="49"/>
    </row>
  </sheetData>
  <mergeCells count="1295">
    <mergeCell ref="C823:C824"/>
    <mergeCell ref="D823:D824"/>
    <mergeCell ref="E823:E824"/>
    <mergeCell ref="F823:F824"/>
    <mergeCell ref="C825:C826"/>
    <mergeCell ref="D825:D826"/>
    <mergeCell ref="E825:E826"/>
    <mergeCell ref="F825:F826"/>
    <mergeCell ref="C827:C828"/>
    <mergeCell ref="D827:D828"/>
    <mergeCell ref="E827:E828"/>
    <mergeCell ref="F827:F828"/>
    <mergeCell ref="C817:C818"/>
    <mergeCell ref="D817:D818"/>
    <mergeCell ref="E817:E818"/>
    <mergeCell ref="F817:F818"/>
    <mergeCell ref="C819:C820"/>
    <mergeCell ref="D819:D820"/>
    <mergeCell ref="E819:E820"/>
    <mergeCell ref="F819:F820"/>
    <mergeCell ref="C821:C822"/>
    <mergeCell ref="D821:D822"/>
    <mergeCell ref="E821:E822"/>
    <mergeCell ref="F821:F822"/>
    <mergeCell ref="C811:C812"/>
    <mergeCell ref="D811:D812"/>
    <mergeCell ref="E811:E812"/>
    <mergeCell ref="F811:F812"/>
    <mergeCell ref="C813:C814"/>
    <mergeCell ref="D813:D814"/>
    <mergeCell ref="E813:E814"/>
    <mergeCell ref="F813:F814"/>
    <mergeCell ref="C815:C816"/>
    <mergeCell ref="D815:D816"/>
    <mergeCell ref="E815:E816"/>
    <mergeCell ref="F815:F816"/>
    <mergeCell ref="C805:C806"/>
    <mergeCell ref="D805:D806"/>
    <mergeCell ref="E805:E806"/>
    <mergeCell ref="F805:F806"/>
    <mergeCell ref="C807:C808"/>
    <mergeCell ref="D807:D808"/>
    <mergeCell ref="E807:E808"/>
    <mergeCell ref="F807:F808"/>
    <mergeCell ref="C809:C810"/>
    <mergeCell ref="D809:D810"/>
    <mergeCell ref="E809:E810"/>
    <mergeCell ref="F809:F810"/>
    <mergeCell ref="C799:C800"/>
    <mergeCell ref="D799:D800"/>
    <mergeCell ref="E799:E800"/>
    <mergeCell ref="F799:F800"/>
    <mergeCell ref="C801:C802"/>
    <mergeCell ref="D801:D802"/>
    <mergeCell ref="E801:E802"/>
    <mergeCell ref="F801:F802"/>
    <mergeCell ref="C803:C804"/>
    <mergeCell ref="D803:D804"/>
    <mergeCell ref="E803:E804"/>
    <mergeCell ref="F803:F804"/>
    <mergeCell ref="C793:C794"/>
    <mergeCell ref="D793:D794"/>
    <mergeCell ref="E793:E794"/>
    <mergeCell ref="F793:F794"/>
    <mergeCell ref="C795:C796"/>
    <mergeCell ref="D795:D796"/>
    <mergeCell ref="E795:E796"/>
    <mergeCell ref="F795:F796"/>
    <mergeCell ref="C797:C798"/>
    <mergeCell ref="D797:D798"/>
    <mergeCell ref="E797:E798"/>
    <mergeCell ref="F797:F798"/>
    <mergeCell ref="C787:C788"/>
    <mergeCell ref="D787:D788"/>
    <mergeCell ref="E787:E788"/>
    <mergeCell ref="F787:F788"/>
    <mergeCell ref="C789:C790"/>
    <mergeCell ref="D789:D790"/>
    <mergeCell ref="E789:E790"/>
    <mergeCell ref="F789:F790"/>
    <mergeCell ref="C791:C792"/>
    <mergeCell ref="D791:D792"/>
    <mergeCell ref="E791:E792"/>
    <mergeCell ref="F791:F792"/>
    <mergeCell ref="C781:C782"/>
    <mergeCell ref="D781:D782"/>
    <mergeCell ref="E781:E782"/>
    <mergeCell ref="F781:F782"/>
    <mergeCell ref="C783:C784"/>
    <mergeCell ref="D783:D784"/>
    <mergeCell ref="E783:E784"/>
    <mergeCell ref="F783:F784"/>
    <mergeCell ref="C785:C786"/>
    <mergeCell ref="D785:D786"/>
    <mergeCell ref="E785:E786"/>
    <mergeCell ref="F785:F786"/>
    <mergeCell ref="C775:C776"/>
    <mergeCell ref="D775:D776"/>
    <mergeCell ref="E775:E776"/>
    <mergeCell ref="F775:F776"/>
    <mergeCell ref="C777:C778"/>
    <mergeCell ref="D777:D778"/>
    <mergeCell ref="E777:E778"/>
    <mergeCell ref="F777:F778"/>
    <mergeCell ref="C779:C780"/>
    <mergeCell ref="D779:D780"/>
    <mergeCell ref="E779:E780"/>
    <mergeCell ref="F779:F780"/>
    <mergeCell ref="C769:C770"/>
    <mergeCell ref="D769:D770"/>
    <mergeCell ref="E769:E770"/>
    <mergeCell ref="F769:F770"/>
    <mergeCell ref="C771:C772"/>
    <mergeCell ref="D771:D772"/>
    <mergeCell ref="E771:E772"/>
    <mergeCell ref="F771:F772"/>
    <mergeCell ref="C773:C774"/>
    <mergeCell ref="D773:D774"/>
    <mergeCell ref="E773:E774"/>
    <mergeCell ref="F773:F774"/>
    <mergeCell ref="C763:C764"/>
    <mergeCell ref="D763:D764"/>
    <mergeCell ref="E763:E764"/>
    <mergeCell ref="F763:F764"/>
    <mergeCell ref="C765:C766"/>
    <mergeCell ref="D765:D766"/>
    <mergeCell ref="E765:E766"/>
    <mergeCell ref="F765:F766"/>
    <mergeCell ref="C767:C768"/>
    <mergeCell ref="D767:D768"/>
    <mergeCell ref="E767:E768"/>
    <mergeCell ref="F767:F768"/>
    <mergeCell ref="C757:C758"/>
    <mergeCell ref="D757:D758"/>
    <mergeCell ref="E757:E758"/>
    <mergeCell ref="F757:F758"/>
    <mergeCell ref="C759:C760"/>
    <mergeCell ref="D759:D760"/>
    <mergeCell ref="E759:E760"/>
    <mergeCell ref="F759:F760"/>
    <mergeCell ref="C761:C762"/>
    <mergeCell ref="D761:D762"/>
    <mergeCell ref="E761:E762"/>
    <mergeCell ref="F761:F762"/>
    <mergeCell ref="C751:C752"/>
    <mergeCell ref="D751:D752"/>
    <mergeCell ref="E751:E752"/>
    <mergeCell ref="F751:F752"/>
    <mergeCell ref="C753:C754"/>
    <mergeCell ref="D753:D754"/>
    <mergeCell ref="E753:E754"/>
    <mergeCell ref="F753:F754"/>
    <mergeCell ref="C755:C756"/>
    <mergeCell ref="D755:D756"/>
    <mergeCell ref="E755:E756"/>
    <mergeCell ref="F755:F756"/>
    <mergeCell ref="C745:C746"/>
    <mergeCell ref="D745:D746"/>
    <mergeCell ref="E745:E746"/>
    <mergeCell ref="F745:F746"/>
    <mergeCell ref="C747:C748"/>
    <mergeCell ref="D747:D748"/>
    <mergeCell ref="E747:E748"/>
    <mergeCell ref="F747:F748"/>
    <mergeCell ref="C749:C750"/>
    <mergeCell ref="D749:D750"/>
    <mergeCell ref="E749:E750"/>
    <mergeCell ref="F749:F750"/>
    <mergeCell ref="C739:C740"/>
    <mergeCell ref="D739:D740"/>
    <mergeCell ref="E739:E740"/>
    <mergeCell ref="F739:F740"/>
    <mergeCell ref="C741:C742"/>
    <mergeCell ref="D741:D742"/>
    <mergeCell ref="E741:E742"/>
    <mergeCell ref="F741:F742"/>
    <mergeCell ref="C743:C744"/>
    <mergeCell ref="D743:D744"/>
    <mergeCell ref="E743:E744"/>
    <mergeCell ref="F743:F744"/>
    <mergeCell ref="C733:C734"/>
    <mergeCell ref="D733:D734"/>
    <mergeCell ref="E733:E734"/>
    <mergeCell ref="F733:F734"/>
    <mergeCell ref="C735:C736"/>
    <mergeCell ref="D735:D736"/>
    <mergeCell ref="E735:E736"/>
    <mergeCell ref="F735:F736"/>
    <mergeCell ref="C737:C738"/>
    <mergeCell ref="D737:D738"/>
    <mergeCell ref="E737:E738"/>
    <mergeCell ref="F737:F738"/>
    <mergeCell ref="C727:C728"/>
    <mergeCell ref="D727:D728"/>
    <mergeCell ref="E727:E728"/>
    <mergeCell ref="F727:F728"/>
    <mergeCell ref="C729:C730"/>
    <mergeCell ref="D729:D730"/>
    <mergeCell ref="E729:E730"/>
    <mergeCell ref="F729:F730"/>
    <mergeCell ref="C731:C732"/>
    <mergeCell ref="D731:D732"/>
    <mergeCell ref="E731:E732"/>
    <mergeCell ref="F731:F732"/>
    <mergeCell ref="C721:C722"/>
    <mergeCell ref="D721:D722"/>
    <mergeCell ref="E721:E722"/>
    <mergeCell ref="F721:F722"/>
    <mergeCell ref="C723:C724"/>
    <mergeCell ref="D723:D724"/>
    <mergeCell ref="E723:E724"/>
    <mergeCell ref="F723:F724"/>
    <mergeCell ref="C725:C726"/>
    <mergeCell ref="D725:D726"/>
    <mergeCell ref="E725:E726"/>
    <mergeCell ref="F725:F726"/>
    <mergeCell ref="C715:C716"/>
    <mergeCell ref="D715:D716"/>
    <mergeCell ref="E715:E716"/>
    <mergeCell ref="F715:F716"/>
    <mergeCell ref="C717:C718"/>
    <mergeCell ref="D717:D718"/>
    <mergeCell ref="E717:E718"/>
    <mergeCell ref="F717:F718"/>
    <mergeCell ref="C719:C720"/>
    <mergeCell ref="D719:D720"/>
    <mergeCell ref="E719:E720"/>
    <mergeCell ref="F719:F720"/>
    <mergeCell ref="C709:C710"/>
    <mergeCell ref="D709:D710"/>
    <mergeCell ref="E709:E710"/>
    <mergeCell ref="F709:F710"/>
    <mergeCell ref="C711:C712"/>
    <mergeCell ref="D711:D712"/>
    <mergeCell ref="E711:E712"/>
    <mergeCell ref="F711:F712"/>
    <mergeCell ref="C713:C714"/>
    <mergeCell ref="D713:D714"/>
    <mergeCell ref="E713:E714"/>
    <mergeCell ref="F713:F714"/>
    <mergeCell ref="C703:C704"/>
    <mergeCell ref="D703:D704"/>
    <mergeCell ref="E703:E704"/>
    <mergeCell ref="F703:F704"/>
    <mergeCell ref="C705:C706"/>
    <mergeCell ref="D705:D706"/>
    <mergeCell ref="E705:E706"/>
    <mergeCell ref="F705:F706"/>
    <mergeCell ref="C707:C708"/>
    <mergeCell ref="D707:D708"/>
    <mergeCell ref="E707:E708"/>
    <mergeCell ref="F707:F708"/>
    <mergeCell ref="C697:C698"/>
    <mergeCell ref="D697:D698"/>
    <mergeCell ref="E697:E698"/>
    <mergeCell ref="F697:F698"/>
    <mergeCell ref="C699:C700"/>
    <mergeCell ref="D699:D700"/>
    <mergeCell ref="E699:E700"/>
    <mergeCell ref="F699:F700"/>
    <mergeCell ref="C701:C702"/>
    <mergeCell ref="D701:D702"/>
    <mergeCell ref="E701:E702"/>
    <mergeCell ref="F701:F702"/>
    <mergeCell ref="C691:C692"/>
    <mergeCell ref="D691:D692"/>
    <mergeCell ref="E691:E692"/>
    <mergeCell ref="F691:F692"/>
    <mergeCell ref="C693:C694"/>
    <mergeCell ref="D693:D694"/>
    <mergeCell ref="E693:E694"/>
    <mergeCell ref="F693:F694"/>
    <mergeCell ref="C695:C696"/>
    <mergeCell ref="D695:D696"/>
    <mergeCell ref="E695:E696"/>
    <mergeCell ref="F695:F696"/>
    <mergeCell ref="C685:C686"/>
    <mergeCell ref="D685:D686"/>
    <mergeCell ref="E685:E686"/>
    <mergeCell ref="F685:F686"/>
    <mergeCell ref="C687:C688"/>
    <mergeCell ref="D687:D688"/>
    <mergeCell ref="E687:E688"/>
    <mergeCell ref="F687:F688"/>
    <mergeCell ref="C689:C690"/>
    <mergeCell ref="D689:D690"/>
    <mergeCell ref="E689:E690"/>
    <mergeCell ref="F689:F690"/>
    <mergeCell ref="C679:C680"/>
    <mergeCell ref="D679:D680"/>
    <mergeCell ref="E679:E680"/>
    <mergeCell ref="F679:F680"/>
    <mergeCell ref="C681:C682"/>
    <mergeCell ref="D681:D682"/>
    <mergeCell ref="E681:E682"/>
    <mergeCell ref="F681:F682"/>
    <mergeCell ref="C683:C684"/>
    <mergeCell ref="D683:D684"/>
    <mergeCell ref="E683:E684"/>
    <mergeCell ref="F683:F684"/>
    <mergeCell ref="C673:C674"/>
    <mergeCell ref="D673:D674"/>
    <mergeCell ref="E673:E674"/>
    <mergeCell ref="F673:F674"/>
    <mergeCell ref="C675:C676"/>
    <mergeCell ref="D675:D676"/>
    <mergeCell ref="E675:E676"/>
    <mergeCell ref="F675:F676"/>
    <mergeCell ref="C677:C678"/>
    <mergeCell ref="D677:D678"/>
    <mergeCell ref="E677:E678"/>
    <mergeCell ref="F677:F678"/>
    <mergeCell ref="C667:C668"/>
    <mergeCell ref="D667:D668"/>
    <mergeCell ref="E667:E668"/>
    <mergeCell ref="F667:F668"/>
    <mergeCell ref="C669:C670"/>
    <mergeCell ref="D669:D670"/>
    <mergeCell ref="E669:E670"/>
    <mergeCell ref="F669:F670"/>
    <mergeCell ref="C671:C672"/>
    <mergeCell ref="D671:D672"/>
    <mergeCell ref="E671:E672"/>
    <mergeCell ref="F671:F672"/>
    <mergeCell ref="C661:C662"/>
    <mergeCell ref="D661:D662"/>
    <mergeCell ref="E661:E662"/>
    <mergeCell ref="F661:F662"/>
    <mergeCell ref="C663:C664"/>
    <mergeCell ref="D663:D664"/>
    <mergeCell ref="E663:E664"/>
    <mergeCell ref="F663:F664"/>
    <mergeCell ref="C665:C666"/>
    <mergeCell ref="D665:D666"/>
    <mergeCell ref="E665:E666"/>
    <mergeCell ref="F665:F666"/>
    <mergeCell ref="C655:C656"/>
    <mergeCell ref="D655:D656"/>
    <mergeCell ref="E655:E656"/>
    <mergeCell ref="F655:F656"/>
    <mergeCell ref="C657:C658"/>
    <mergeCell ref="D657:D658"/>
    <mergeCell ref="E657:E658"/>
    <mergeCell ref="F657:F658"/>
    <mergeCell ref="C659:C660"/>
    <mergeCell ref="D659:D660"/>
    <mergeCell ref="E659:E660"/>
    <mergeCell ref="F659:F660"/>
    <mergeCell ref="C649:C650"/>
    <mergeCell ref="D649:D650"/>
    <mergeCell ref="E649:E650"/>
    <mergeCell ref="F649:F650"/>
    <mergeCell ref="C651:C652"/>
    <mergeCell ref="D651:D652"/>
    <mergeCell ref="E651:E652"/>
    <mergeCell ref="F651:F652"/>
    <mergeCell ref="C653:C654"/>
    <mergeCell ref="D653:D654"/>
    <mergeCell ref="E653:E654"/>
    <mergeCell ref="F653:F654"/>
    <mergeCell ref="C643:C644"/>
    <mergeCell ref="D643:D644"/>
    <mergeCell ref="E643:E644"/>
    <mergeCell ref="F643:F644"/>
    <mergeCell ref="C645:C646"/>
    <mergeCell ref="D645:D646"/>
    <mergeCell ref="E645:E646"/>
    <mergeCell ref="F645:F646"/>
    <mergeCell ref="C647:C648"/>
    <mergeCell ref="D647:D648"/>
    <mergeCell ref="E647:E648"/>
    <mergeCell ref="F647:F648"/>
    <mergeCell ref="C637:C638"/>
    <mergeCell ref="D637:D638"/>
    <mergeCell ref="E637:E638"/>
    <mergeCell ref="F637:F638"/>
    <mergeCell ref="C639:C640"/>
    <mergeCell ref="D639:D640"/>
    <mergeCell ref="E639:E640"/>
    <mergeCell ref="F639:F640"/>
    <mergeCell ref="C641:C642"/>
    <mergeCell ref="D641:D642"/>
    <mergeCell ref="E641:E642"/>
    <mergeCell ref="F641:F642"/>
    <mergeCell ref="A2:A3"/>
    <mergeCell ref="B2:B3"/>
    <mergeCell ref="C2:C3"/>
    <mergeCell ref="D2:F2"/>
    <mergeCell ref="C4:C5"/>
    <mergeCell ref="D4:D5"/>
    <mergeCell ref="E4:E5"/>
    <mergeCell ref="F4:F5"/>
    <mergeCell ref="C10:C11"/>
    <mergeCell ref="D10:D11"/>
    <mergeCell ref="E10:E11"/>
    <mergeCell ref="F10:F11"/>
    <mergeCell ref="C12:C13"/>
    <mergeCell ref="D12:D13"/>
    <mergeCell ref="E12:E13"/>
    <mergeCell ref="F12:F13"/>
    <mergeCell ref="C6:C7"/>
    <mergeCell ref="D6:D7"/>
    <mergeCell ref="E6:E7"/>
    <mergeCell ref="F6:F7"/>
    <mergeCell ref="C8:C9"/>
    <mergeCell ref="D8:D9"/>
    <mergeCell ref="E8:E9"/>
    <mergeCell ref="F8:F9"/>
    <mergeCell ref="C18:C19"/>
    <mergeCell ref="D18:D19"/>
    <mergeCell ref="E18:E19"/>
    <mergeCell ref="F18:F19"/>
    <mergeCell ref="C20:C21"/>
    <mergeCell ref="D20:D21"/>
    <mergeCell ref="E20:E21"/>
    <mergeCell ref="F20:F21"/>
    <mergeCell ref="C14:C15"/>
    <mergeCell ref="D14:D15"/>
    <mergeCell ref="E14:E15"/>
    <mergeCell ref="F14:F15"/>
    <mergeCell ref="C16:C17"/>
    <mergeCell ref="D16:D17"/>
    <mergeCell ref="E16:E17"/>
    <mergeCell ref="F16:F17"/>
    <mergeCell ref="C26:C27"/>
    <mergeCell ref="D26:D27"/>
    <mergeCell ref="E26:E27"/>
    <mergeCell ref="F26:F27"/>
    <mergeCell ref="C28:C29"/>
    <mergeCell ref="D28:D29"/>
    <mergeCell ref="E28:E29"/>
    <mergeCell ref="F28:F29"/>
    <mergeCell ref="C22:C23"/>
    <mergeCell ref="D22:D23"/>
    <mergeCell ref="E22:E23"/>
    <mergeCell ref="F22:F23"/>
    <mergeCell ref="C24:C25"/>
    <mergeCell ref="D24:D25"/>
    <mergeCell ref="E24:E25"/>
    <mergeCell ref="F24:F25"/>
    <mergeCell ref="C34:C35"/>
    <mergeCell ref="D34:D35"/>
    <mergeCell ref="E34:E35"/>
    <mergeCell ref="F34:F35"/>
    <mergeCell ref="C36:C37"/>
    <mergeCell ref="D36:D37"/>
    <mergeCell ref="E36:E37"/>
    <mergeCell ref="F36:F37"/>
    <mergeCell ref="C30:C31"/>
    <mergeCell ref="D30:D31"/>
    <mergeCell ref="E30:E31"/>
    <mergeCell ref="F30:F31"/>
    <mergeCell ref="C32:C33"/>
    <mergeCell ref="D32:D33"/>
    <mergeCell ref="E32:E33"/>
    <mergeCell ref="F32:F33"/>
    <mergeCell ref="C42:C43"/>
    <mergeCell ref="D42:D43"/>
    <mergeCell ref="E42:E43"/>
    <mergeCell ref="F42:F43"/>
    <mergeCell ref="C44:C45"/>
    <mergeCell ref="D44:D45"/>
    <mergeCell ref="E44:E45"/>
    <mergeCell ref="F44:F45"/>
    <mergeCell ref="C38:C39"/>
    <mergeCell ref="D38:D39"/>
    <mergeCell ref="E38:E39"/>
    <mergeCell ref="F38:F39"/>
    <mergeCell ref="C40:C41"/>
    <mergeCell ref="D40:D41"/>
    <mergeCell ref="E40:E41"/>
    <mergeCell ref="F40:F41"/>
    <mergeCell ref="C50:C51"/>
    <mergeCell ref="D50:D51"/>
    <mergeCell ref="E50:E51"/>
    <mergeCell ref="F50:F51"/>
    <mergeCell ref="C52:C53"/>
    <mergeCell ref="D52:D53"/>
    <mergeCell ref="E52:E53"/>
    <mergeCell ref="F52:F53"/>
    <mergeCell ref="C46:C47"/>
    <mergeCell ref="D46:D47"/>
    <mergeCell ref="E46:E47"/>
    <mergeCell ref="F46:F47"/>
    <mergeCell ref="C48:C49"/>
    <mergeCell ref="D48:D49"/>
    <mergeCell ref="E48:E49"/>
    <mergeCell ref="F48:F49"/>
    <mergeCell ref="C58:C59"/>
    <mergeCell ref="D58:D59"/>
    <mergeCell ref="E58:E59"/>
    <mergeCell ref="F58:F59"/>
    <mergeCell ref="C60:C61"/>
    <mergeCell ref="D60:D61"/>
    <mergeCell ref="E60:E61"/>
    <mergeCell ref="F60:F61"/>
    <mergeCell ref="C54:C55"/>
    <mergeCell ref="D54:D55"/>
    <mergeCell ref="E54:E55"/>
    <mergeCell ref="F54:F55"/>
    <mergeCell ref="C56:C57"/>
    <mergeCell ref="D56:D57"/>
    <mergeCell ref="E56:E57"/>
    <mergeCell ref="F56:F57"/>
    <mergeCell ref="C66:C67"/>
    <mergeCell ref="D66:D67"/>
    <mergeCell ref="E66:E67"/>
    <mergeCell ref="F66:F67"/>
    <mergeCell ref="C68:C69"/>
    <mergeCell ref="D68:D69"/>
    <mergeCell ref="E68:E69"/>
    <mergeCell ref="F68:F69"/>
    <mergeCell ref="C62:C63"/>
    <mergeCell ref="D62:D63"/>
    <mergeCell ref="E62:E63"/>
    <mergeCell ref="F62:F63"/>
    <mergeCell ref="C64:C65"/>
    <mergeCell ref="D64:D65"/>
    <mergeCell ref="E64:E65"/>
    <mergeCell ref="F64:F65"/>
    <mergeCell ref="C74:C75"/>
    <mergeCell ref="D74:D75"/>
    <mergeCell ref="E74:E75"/>
    <mergeCell ref="F74:F75"/>
    <mergeCell ref="C76:C77"/>
    <mergeCell ref="D76:D77"/>
    <mergeCell ref="E76:E77"/>
    <mergeCell ref="F76:F77"/>
    <mergeCell ref="C70:C71"/>
    <mergeCell ref="D70:D71"/>
    <mergeCell ref="E70:E71"/>
    <mergeCell ref="F70:F71"/>
    <mergeCell ref="C72:C73"/>
    <mergeCell ref="D72:D73"/>
    <mergeCell ref="E72:E73"/>
    <mergeCell ref="F72:F73"/>
    <mergeCell ref="C82:C83"/>
    <mergeCell ref="D82:D83"/>
    <mergeCell ref="E82:E83"/>
    <mergeCell ref="F82:F83"/>
    <mergeCell ref="C84:C85"/>
    <mergeCell ref="D84:D85"/>
    <mergeCell ref="E84:E85"/>
    <mergeCell ref="F84:F85"/>
    <mergeCell ref="C78:C79"/>
    <mergeCell ref="D78:D79"/>
    <mergeCell ref="E78:E79"/>
    <mergeCell ref="F78:F79"/>
    <mergeCell ref="C80:C81"/>
    <mergeCell ref="D80:D81"/>
    <mergeCell ref="E80:E81"/>
    <mergeCell ref="F80:F81"/>
    <mergeCell ref="C90:C91"/>
    <mergeCell ref="D90:D91"/>
    <mergeCell ref="E90:E91"/>
    <mergeCell ref="F90:F91"/>
    <mergeCell ref="C92:C93"/>
    <mergeCell ref="D92:D93"/>
    <mergeCell ref="E92:E93"/>
    <mergeCell ref="F92:F93"/>
    <mergeCell ref="C86:C87"/>
    <mergeCell ref="D86:D87"/>
    <mergeCell ref="E86:E87"/>
    <mergeCell ref="F86:F87"/>
    <mergeCell ref="C88:C89"/>
    <mergeCell ref="D88:D89"/>
    <mergeCell ref="E88:E89"/>
    <mergeCell ref="F88:F89"/>
    <mergeCell ref="C98:C99"/>
    <mergeCell ref="D98:D99"/>
    <mergeCell ref="E98:E99"/>
    <mergeCell ref="F98:F99"/>
    <mergeCell ref="C100:C101"/>
    <mergeCell ref="D100:D101"/>
    <mergeCell ref="E100:E101"/>
    <mergeCell ref="F100:F101"/>
    <mergeCell ref="C94:C95"/>
    <mergeCell ref="D94:D95"/>
    <mergeCell ref="E94:E95"/>
    <mergeCell ref="F94:F95"/>
    <mergeCell ref="C96:C97"/>
    <mergeCell ref="D96:D97"/>
    <mergeCell ref="E96:E97"/>
    <mergeCell ref="F96:F97"/>
    <mergeCell ref="C106:C107"/>
    <mergeCell ref="D106:D107"/>
    <mergeCell ref="E106:E107"/>
    <mergeCell ref="F106:F107"/>
    <mergeCell ref="C108:C109"/>
    <mergeCell ref="D108:D109"/>
    <mergeCell ref="E108:E109"/>
    <mergeCell ref="F108:F109"/>
    <mergeCell ref="C102:C103"/>
    <mergeCell ref="D102:D103"/>
    <mergeCell ref="E102:E103"/>
    <mergeCell ref="F102:F103"/>
    <mergeCell ref="C104:C105"/>
    <mergeCell ref="D104:D105"/>
    <mergeCell ref="E104:E105"/>
    <mergeCell ref="F104:F105"/>
    <mergeCell ref="C114:C115"/>
    <mergeCell ref="D114:D115"/>
    <mergeCell ref="E114:E115"/>
    <mergeCell ref="F114:F115"/>
    <mergeCell ref="C116:C117"/>
    <mergeCell ref="D116:D117"/>
    <mergeCell ref="E116:E117"/>
    <mergeCell ref="F116:F117"/>
    <mergeCell ref="C110:C111"/>
    <mergeCell ref="D110:D111"/>
    <mergeCell ref="E110:E111"/>
    <mergeCell ref="F110:F111"/>
    <mergeCell ref="C112:C113"/>
    <mergeCell ref="D112:D113"/>
    <mergeCell ref="E112:E113"/>
    <mergeCell ref="F112:F113"/>
    <mergeCell ref="C122:C123"/>
    <mergeCell ref="D122:D123"/>
    <mergeCell ref="E122:E123"/>
    <mergeCell ref="F122:F123"/>
    <mergeCell ref="C124:C125"/>
    <mergeCell ref="D124:D125"/>
    <mergeCell ref="E124:E125"/>
    <mergeCell ref="F124:F125"/>
    <mergeCell ref="C118:C119"/>
    <mergeCell ref="D118:D119"/>
    <mergeCell ref="E118:E119"/>
    <mergeCell ref="F118:F119"/>
    <mergeCell ref="C120:C121"/>
    <mergeCell ref="D120:D121"/>
    <mergeCell ref="E120:E121"/>
    <mergeCell ref="F120:F121"/>
    <mergeCell ref="C130:C131"/>
    <mergeCell ref="D130:D131"/>
    <mergeCell ref="E130:E131"/>
    <mergeCell ref="F130:F131"/>
    <mergeCell ref="C132:C133"/>
    <mergeCell ref="D132:D133"/>
    <mergeCell ref="E132:E133"/>
    <mergeCell ref="F132:F133"/>
    <mergeCell ref="C126:C127"/>
    <mergeCell ref="D126:D127"/>
    <mergeCell ref="E126:E127"/>
    <mergeCell ref="F126:F127"/>
    <mergeCell ref="C128:C129"/>
    <mergeCell ref="D128:D129"/>
    <mergeCell ref="E128:E129"/>
    <mergeCell ref="F128:F129"/>
    <mergeCell ref="C138:C139"/>
    <mergeCell ref="D138:D139"/>
    <mergeCell ref="E138:E139"/>
    <mergeCell ref="F138:F139"/>
    <mergeCell ref="C140:C141"/>
    <mergeCell ref="D140:D141"/>
    <mergeCell ref="E140:E141"/>
    <mergeCell ref="F140:F141"/>
    <mergeCell ref="C134:C135"/>
    <mergeCell ref="D134:D135"/>
    <mergeCell ref="E134:E135"/>
    <mergeCell ref="F134:F135"/>
    <mergeCell ref="C136:C137"/>
    <mergeCell ref="D136:D137"/>
    <mergeCell ref="E136:E137"/>
    <mergeCell ref="F136:F137"/>
    <mergeCell ref="C146:C147"/>
    <mergeCell ref="D146:D147"/>
    <mergeCell ref="E146:E147"/>
    <mergeCell ref="F146:F147"/>
    <mergeCell ref="C148:C149"/>
    <mergeCell ref="D148:D149"/>
    <mergeCell ref="E148:E149"/>
    <mergeCell ref="F148:F149"/>
    <mergeCell ref="C142:C143"/>
    <mergeCell ref="D142:D143"/>
    <mergeCell ref="E142:E143"/>
    <mergeCell ref="F142:F143"/>
    <mergeCell ref="C144:C145"/>
    <mergeCell ref="D144:D145"/>
    <mergeCell ref="E144:E145"/>
    <mergeCell ref="F144:F145"/>
    <mergeCell ref="C154:C155"/>
    <mergeCell ref="D154:D155"/>
    <mergeCell ref="E154:E155"/>
    <mergeCell ref="F154:F155"/>
    <mergeCell ref="C156:C157"/>
    <mergeCell ref="D156:D157"/>
    <mergeCell ref="E156:E157"/>
    <mergeCell ref="F156:F157"/>
    <mergeCell ref="C150:C151"/>
    <mergeCell ref="D150:D151"/>
    <mergeCell ref="E150:E151"/>
    <mergeCell ref="F150:F151"/>
    <mergeCell ref="C152:C153"/>
    <mergeCell ref="D152:D153"/>
    <mergeCell ref="E152:E153"/>
    <mergeCell ref="F152:F153"/>
    <mergeCell ref="C162:C163"/>
    <mergeCell ref="D162:D163"/>
    <mergeCell ref="E162:E163"/>
    <mergeCell ref="F162:F163"/>
    <mergeCell ref="C164:C165"/>
    <mergeCell ref="D164:D165"/>
    <mergeCell ref="E164:E165"/>
    <mergeCell ref="F164:F165"/>
    <mergeCell ref="C158:C159"/>
    <mergeCell ref="D158:D159"/>
    <mergeCell ref="E158:E159"/>
    <mergeCell ref="F158:F159"/>
    <mergeCell ref="C160:C161"/>
    <mergeCell ref="D160:D161"/>
    <mergeCell ref="E160:E161"/>
    <mergeCell ref="F160:F161"/>
    <mergeCell ref="C170:C171"/>
    <mergeCell ref="D170:D171"/>
    <mergeCell ref="E170:E171"/>
    <mergeCell ref="F170:F171"/>
    <mergeCell ref="C172:C173"/>
    <mergeCell ref="D172:D173"/>
    <mergeCell ref="E172:E173"/>
    <mergeCell ref="F172:F173"/>
    <mergeCell ref="C166:C167"/>
    <mergeCell ref="D166:D167"/>
    <mergeCell ref="E166:E167"/>
    <mergeCell ref="F166:F167"/>
    <mergeCell ref="C168:C169"/>
    <mergeCell ref="D168:D169"/>
    <mergeCell ref="E168:E169"/>
    <mergeCell ref="F168:F169"/>
    <mergeCell ref="C178:C179"/>
    <mergeCell ref="D178:D179"/>
    <mergeCell ref="E178:E179"/>
    <mergeCell ref="F178:F179"/>
    <mergeCell ref="C180:C181"/>
    <mergeCell ref="D180:D181"/>
    <mergeCell ref="E180:E181"/>
    <mergeCell ref="F180:F181"/>
    <mergeCell ref="C174:C175"/>
    <mergeCell ref="D174:D175"/>
    <mergeCell ref="E174:E175"/>
    <mergeCell ref="F174:F175"/>
    <mergeCell ref="C176:C177"/>
    <mergeCell ref="D176:D177"/>
    <mergeCell ref="E176:E177"/>
    <mergeCell ref="F176:F177"/>
    <mergeCell ref="C186:C187"/>
    <mergeCell ref="D186:D187"/>
    <mergeCell ref="E186:E187"/>
    <mergeCell ref="F186:F187"/>
    <mergeCell ref="C188:C189"/>
    <mergeCell ref="D188:D189"/>
    <mergeCell ref="E188:E189"/>
    <mergeCell ref="F188:F189"/>
    <mergeCell ref="C182:C183"/>
    <mergeCell ref="D182:D183"/>
    <mergeCell ref="E182:E183"/>
    <mergeCell ref="F182:F183"/>
    <mergeCell ref="C184:C185"/>
    <mergeCell ref="D184:D185"/>
    <mergeCell ref="E184:E185"/>
    <mergeCell ref="F184:F185"/>
    <mergeCell ref="C194:C195"/>
    <mergeCell ref="D194:D195"/>
    <mergeCell ref="E194:E195"/>
    <mergeCell ref="F194:F195"/>
    <mergeCell ref="C196:C197"/>
    <mergeCell ref="D196:D197"/>
    <mergeCell ref="E196:E197"/>
    <mergeCell ref="F196:F197"/>
    <mergeCell ref="C190:C191"/>
    <mergeCell ref="D190:D191"/>
    <mergeCell ref="E190:E191"/>
    <mergeCell ref="F190:F191"/>
    <mergeCell ref="C192:C193"/>
    <mergeCell ref="D192:D193"/>
    <mergeCell ref="E192:E193"/>
    <mergeCell ref="F192:F193"/>
    <mergeCell ref="C202:C203"/>
    <mergeCell ref="D202:D203"/>
    <mergeCell ref="E202:E203"/>
    <mergeCell ref="F202:F203"/>
    <mergeCell ref="C204:C205"/>
    <mergeCell ref="D204:D205"/>
    <mergeCell ref="E204:E205"/>
    <mergeCell ref="F204:F205"/>
    <mergeCell ref="C198:C199"/>
    <mergeCell ref="D198:D199"/>
    <mergeCell ref="E198:E199"/>
    <mergeCell ref="F198:F199"/>
    <mergeCell ref="C200:C201"/>
    <mergeCell ref="D200:D201"/>
    <mergeCell ref="E200:E201"/>
    <mergeCell ref="F200:F201"/>
    <mergeCell ref="C210:C211"/>
    <mergeCell ref="D210:D211"/>
    <mergeCell ref="E210:E211"/>
    <mergeCell ref="F210:F211"/>
    <mergeCell ref="C212:C213"/>
    <mergeCell ref="D212:D213"/>
    <mergeCell ref="E212:E213"/>
    <mergeCell ref="F212:F213"/>
    <mergeCell ref="C206:C207"/>
    <mergeCell ref="D206:D207"/>
    <mergeCell ref="E206:E207"/>
    <mergeCell ref="F206:F207"/>
    <mergeCell ref="C208:C209"/>
    <mergeCell ref="D208:D209"/>
    <mergeCell ref="E208:E209"/>
    <mergeCell ref="F208:F209"/>
    <mergeCell ref="C218:C219"/>
    <mergeCell ref="D218:D219"/>
    <mergeCell ref="E218:E219"/>
    <mergeCell ref="F218:F219"/>
    <mergeCell ref="C220:C221"/>
    <mergeCell ref="D220:D221"/>
    <mergeCell ref="E220:E221"/>
    <mergeCell ref="F220:F221"/>
    <mergeCell ref="C214:C215"/>
    <mergeCell ref="D214:D215"/>
    <mergeCell ref="E214:E215"/>
    <mergeCell ref="F214:F215"/>
    <mergeCell ref="C216:C217"/>
    <mergeCell ref="D216:D217"/>
    <mergeCell ref="E216:E217"/>
    <mergeCell ref="F216:F217"/>
    <mergeCell ref="C226:C227"/>
    <mergeCell ref="D226:D227"/>
    <mergeCell ref="E226:E227"/>
    <mergeCell ref="F226:F227"/>
    <mergeCell ref="C228:C229"/>
    <mergeCell ref="D228:D229"/>
    <mergeCell ref="E228:E229"/>
    <mergeCell ref="F228:F229"/>
    <mergeCell ref="C222:C223"/>
    <mergeCell ref="D222:D223"/>
    <mergeCell ref="E222:E223"/>
    <mergeCell ref="F222:F223"/>
    <mergeCell ref="C224:C225"/>
    <mergeCell ref="D224:D225"/>
    <mergeCell ref="E224:E225"/>
    <mergeCell ref="F224:F225"/>
    <mergeCell ref="C234:C235"/>
    <mergeCell ref="D234:D235"/>
    <mergeCell ref="E234:E235"/>
    <mergeCell ref="F234:F235"/>
    <mergeCell ref="C236:C237"/>
    <mergeCell ref="D236:D237"/>
    <mergeCell ref="E236:E237"/>
    <mergeCell ref="F236:F237"/>
    <mergeCell ref="C230:C231"/>
    <mergeCell ref="D230:D231"/>
    <mergeCell ref="E230:E231"/>
    <mergeCell ref="F230:F231"/>
    <mergeCell ref="C232:C233"/>
    <mergeCell ref="D232:D233"/>
    <mergeCell ref="E232:E233"/>
    <mergeCell ref="F232:F233"/>
    <mergeCell ref="C242:C243"/>
    <mergeCell ref="D242:D243"/>
    <mergeCell ref="E242:E243"/>
    <mergeCell ref="F242:F243"/>
    <mergeCell ref="C244:C245"/>
    <mergeCell ref="D244:D245"/>
    <mergeCell ref="E244:E245"/>
    <mergeCell ref="F244:F245"/>
    <mergeCell ref="C238:C239"/>
    <mergeCell ref="D238:D239"/>
    <mergeCell ref="E238:E239"/>
    <mergeCell ref="F238:F239"/>
    <mergeCell ref="C240:C241"/>
    <mergeCell ref="D240:D241"/>
    <mergeCell ref="E240:E241"/>
    <mergeCell ref="F240:F241"/>
    <mergeCell ref="C250:C251"/>
    <mergeCell ref="D250:D251"/>
    <mergeCell ref="E250:E251"/>
    <mergeCell ref="F250:F251"/>
    <mergeCell ref="C252:C253"/>
    <mergeCell ref="D252:D253"/>
    <mergeCell ref="E252:E253"/>
    <mergeCell ref="F252:F253"/>
    <mergeCell ref="C246:C247"/>
    <mergeCell ref="D246:D247"/>
    <mergeCell ref="E246:E247"/>
    <mergeCell ref="F246:F247"/>
    <mergeCell ref="C248:C249"/>
    <mergeCell ref="D248:D249"/>
    <mergeCell ref="E248:E249"/>
    <mergeCell ref="F248:F249"/>
    <mergeCell ref="C258:C259"/>
    <mergeCell ref="D258:D259"/>
    <mergeCell ref="E258:E259"/>
    <mergeCell ref="F258:F259"/>
    <mergeCell ref="C260:C261"/>
    <mergeCell ref="D260:D261"/>
    <mergeCell ref="E260:E261"/>
    <mergeCell ref="F260:F261"/>
    <mergeCell ref="C254:C255"/>
    <mergeCell ref="D254:D255"/>
    <mergeCell ref="E254:E255"/>
    <mergeCell ref="F254:F255"/>
    <mergeCell ref="C256:C257"/>
    <mergeCell ref="D256:D257"/>
    <mergeCell ref="E256:E257"/>
    <mergeCell ref="F256:F257"/>
    <mergeCell ref="C266:C267"/>
    <mergeCell ref="D266:D267"/>
    <mergeCell ref="E266:E267"/>
    <mergeCell ref="F266:F267"/>
    <mergeCell ref="C268:C269"/>
    <mergeCell ref="D268:D269"/>
    <mergeCell ref="E268:E269"/>
    <mergeCell ref="F268:F269"/>
    <mergeCell ref="C262:C263"/>
    <mergeCell ref="D262:D263"/>
    <mergeCell ref="E262:E263"/>
    <mergeCell ref="F262:F263"/>
    <mergeCell ref="C264:C265"/>
    <mergeCell ref="D264:D265"/>
    <mergeCell ref="E264:E265"/>
    <mergeCell ref="F264:F265"/>
    <mergeCell ref="C274:C275"/>
    <mergeCell ref="D274:D275"/>
    <mergeCell ref="E274:E275"/>
    <mergeCell ref="F274:F275"/>
    <mergeCell ref="C276:C277"/>
    <mergeCell ref="D276:D277"/>
    <mergeCell ref="E276:E277"/>
    <mergeCell ref="F276:F277"/>
    <mergeCell ref="C270:C271"/>
    <mergeCell ref="D270:D271"/>
    <mergeCell ref="E270:E271"/>
    <mergeCell ref="F270:F271"/>
    <mergeCell ref="C272:C273"/>
    <mergeCell ref="D272:D273"/>
    <mergeCell ref="E272:E273"/>
    <mergeCell ref="F272:F273"/>
    <mergeCell ref="C282:C283"/>
    <mergeCell ref="D282:D283"/>
    <mergeCell ref="E282:E283"/>
    <mergeCell ref="F282:F283"/>
    <mergeCell ref="C284:C285"/>
    <mergeCell ref="D284:D285"/>
    <mergeCell ref="E284:E285"/>
    <mergeCell ref="F284:F285"/>
    <mergeCell ref="C278:C279"/>
    <mergeCell ref="D278:D279"/>
    <mergeCell ref="E278:E279"/>
    <mergeCell ref="F278:F279"/>
    <mergeCell ref="C280:C281"/>
    <mergeCell ref="D280:D281"/>
    <mergeCell ref="E280:E281"/>
    <mergeCell ref="F280:F281"/>
    <mergeCell ref="C290:C291"/>
    <mergeCell ref="D290:D291"/>
    <mergeCell ref="E290:E291"/>
    <mergeCell ref="F290:F291"/>
    <mergeCell ref="C292:C293"/>
    <mergeCell ref="D292:D293"/>
    <mergeCell ref="E292:E293"/>
    <mergeCell ref="F292:F293"/>
    <mergeCell ref="C286:C287"/>
    <mergeCell ref="D286:D287"/>
    <mergeCell ref="E286:E287"/>
    <mergeCell ref="F286:F287"/>
    <mergeCell ref="C288:C289"/>
    <mergeCell ref="D288:D289"/>
    <mergeCell ref="E288:E289"/>
    <mergeCell ref="F288:F289"/>
    <mergeCell ref="C298:C299"/>
    <mergeCell ref="D298:D299"/>
    <mergeCell ref="E298:E299"/>
    <mergeCell ref="F298:F299"/>
    <mergeCell ref="C300:C301"/>
    <mergeCell ref="D300:D301"/>
    <mergeCell ref="E300:E301"/>
    <mergeCell ref="F300:F301"/>
    <mergeCell ref="C294:C295"/>
    <mergeCell ref="D294:D295"/>
    <mergeCell ref="E294:E295"/>
    <mergeCell ref="F294:F295"/>
    <mergeCell ref="C296:C297"/>
    <mergeCell ref="D296:D297"/>
    <mergeCell ref="E296:E297"/>
    <mergeCell ref="F296:F297"/>
    <mergeCell ref="C306:C307"/>
    <mergeCell ref="D306:D307"/>
    <mergeCell ref="E306:E307"/>
    <mergeCell ref="F306:F307"/>
    <mergeCell ref="C308:C309"/>
    <mergeCell ref="D308:D309"/>
    <mergeCell ref="E308:E309"/>
    <mergeCell ref="F308:F309"/>
    <mergeCell ref="C302:C303"/>
    <mergeCell ref="D302:D303"/>
    <mergeCell ref="E302:E303"/>
    <mergeCell ref="F302:F303"/>
    <mergeCell ref="C304:C305"/>
    <mergeCell ref="D304:D305"/>
    <mergeCell ref="E304:E305"/>
    <mergeCell ref="F304:F305"/>
    <mergeCell ref="C314:C315"/>
    <mergeCell ref="D314:D315"/>
    <mergeCell ref="E314:E315"/>
    <mergeCell ref="F314:F315"/>
    <mergeCell ref="C316:C317"/>
    <mergeCell ref="D316:D317"/>
    <mergeCell ref="E316:E317"/>
    <mergeCell ref="F316:F317"/>
    <mergeCell ref="C310:C311"/>
    <mergeCell ref="D310:D311"/>
    <mergeCell ref="E310:E311"/>
    <mergeCell ref="F310:F311"/>
    <mergeCell ref="C312:C313"/>
    <mergeCell ref="D312:D313"/>
    <mergeCell ref="E312:E313"/>
    <mergeCell ref="F312:F313"/>
    <mergeCell ref="C322:C323"/>
    <mergeCell ref="D322:D323"/>
    <mergeCell ref="E322:E323"/>
    <mergeCell ref="F322:F323"/>
    <mergeCell ref="C326:C337"/>
    <mergeCell ref="C340:C351"/>
    <mergeCell ref="C318:C319"/>
    <mergeCell ref="D318:D319"/>
    <mergeCell ref="E318:E319"/>
    <mergeCell ref="F318:F319"/>
    <mergeCell ref="C320:C321"/>
    <mergeCell ref="D320:D321"/>
    <mergeCell ref="E320:E321"/>
    <mergeCell ref="F320:F321"/>
    <mergeCell ref="C438:C449"/>
    <mergeCell ref="C452:C463"/>
    <mergeCell ref="C509:C510"/>
    <mergeCell ref="D509:D510"/>
    <mergeCell ref="E509:E510"/>
    <mergeCell ref="F509:F510"/>
    <mergeCell ref="C354:C365"/>
    <mergeCell ref="C368:C379"/>
    <mergeCell ref="C382:C393"/>
    <mergeCell ref="C396:C407"/>
    <mergeCell ref="C410:C421"/>
    <mergeCell ref="C424:C435"/>
    <mergeCell ref="B507:C507"/>
    <mergeCell ref="C515:C516"/>
    <mergeCell ref="D515:D516"/>
    <mergeCell ref="E515:E516"/>
    <mergeCell ref="F515:F516"/>
    <mergeCell ref="C517:C518"/>
    <mergeCell ref="D517:D518"/>
    <mergeCell ref="E517:E518"/>
    <mergeCell ref="F517:F518"/>
    <mergeCell ref="C511:C512"/>
    <mergeCell ref="D511:D512"/>
    <mergeCell ref="E511:E512"/>
    <mergeCell ref="F511:F512"/>
    <mergeCell ref="C513:C514"/>
    <mergeCell ref="D513:D514"/>
    <mergeCell ref="E513:E514"/>
    <mergeCell ref="F513:F514"/>
    <mergeCell ref="C523:C524"/>
    <mergeCell ref="D523:D524"/>
    <mergeCell ref="E523:E524"/>
    <mergeCell ref="F523:F524"/>
    <mergeCell ref="C525:C526"/>
    <mergeCell ref="D525:D526"/>
    <mergeCell ref="E525:E526"/>
    <mergeCell ref="F525:F526"/>
    <mergeCell ref="C519:C520"/>
    <mergeCell ref="D519:D520"/>
    <mergeCell ref="E519:E520"/>
    <mergeCell ref="F519:F520"/>
    <mergeCell ref="C521:C522"/>
    <mergeCell ref="D521:D522"/>
    <mergeCell ref="E521:E522"/>
    <mergeCell ref="F521:F522"/>
    <mergeCell ref="C531:C532"/>
    <mergeCell ref="D531:D532"/>
    <mergeCell ref="E531:E532"/>
    <mergeCell ref="F531:F532"/>
    <mergeCell ref="C533:C534"/>
    <mergeCell ref="D533:D534"/>
    <mergeCell ref="E533:E534"/>
    <mergeCell ref="F533:F534"/>
    <mergeCell ref="C527:C528"/>
    <mergeCell ref="D527:D528"/>
    <mergeCell ref="E527:E528"/>
    <mergeCell ref="F527:F528"/>
    <mergeCell ref="C529:C530"/>
    <mergeCell ref="D529:D530"/>
    <mergeCell ref="E529:E530"/>
    <mergeCell ref="F529:F530"/>
    <mergeCell ref="C539:C540"/>
    <mergeCell ref="D539:D540"/>
    <mergeCell ref="E539:E540"/>
    <mergeCell ref="F539:F540"/>
    <mergeCell ref="C541:C542"/>
    <mergeCell ref="D541:D542"/>
    <mergeCell ref="E541:E542"/>
    <mergeCell ref="F541:F542"/>
    <mergeCell ref="C535:C536"/>
    <mergeCell ref="D535:D536"/>
    <mergeCell ref="E535:E536"/>
    <mergeCell ref="F535:F536"/>
    <mergeCell ref="C537:C538"/>
    <mergeCell ref="D537:D538"/>
    <mergeCell ref="E537:E538"/>
    <mergeCell ref="F537:F538"/>
    <mergeCell ref="C547:C548"/>
    <mergeCell ref="D547:D548"/>
    <mergeCell ref="E547:E548"/>
    <mergeCell ref="F547:F548"/>
    <mergeCell ref="C549:C550"/>
    <mergeCell ref="D549:D550"/>
    <mergeCell ref="E549:E550"/>
    <mergeCell ref="F549:F550"/>
    <mergeCell ref="C543:C544"/>
    <mergeCell ref="D543:D544"/>
    <mergeCell ref="E543:E544"/>
    <mergeCell ref="F543:F544"/>
    <mergeCell ref="C545:C546"/>
    <mergeCell ref="D545:D546"/>
    <mergeCell ref="E545:E546"/>
    <mergeCell ref="F545:F546"/>
    <mergeCell ref="C555:C556"/>
    <mergeCell ref="D555:D556"/>
    <mergeCell ref="E555:E556"/>
    <mergeCell ref="F555:F556"/>
    <mergeCell ref="C557:C558"/>
    <mergeCell ref="D557:D558"/>
    <mergeCell ref="E557:E558"/>
    <mergeCell ref="F557:F558"/>
    <mergeCell ref="C551:C552"/>
    <mergeCell ref="D551:D552"/>
    <mergeCell ref="E551:E552"/>
    <mergeCell ref="F551:F552"/>
    <mergeCell ref="C553:C554"/>
    <mergeCell ref="D553:D554"/>
    <mergeCell ref="E553:E554"/>
    <mergeCell ref="F553:F554"/>
    <mergeCell ref="C563:C564"/>
    <mergeCell ref="D563:D564"/>
    <mergeCell ref="E563:E564"/>
    <mergeCell ref="F563:F564"/>
    <mergeCell ref="C565:C566"/>
    <mergeCell ref="D565:D566"/>
    <mergeCell ref="E565:E566"/>
    <mergeCell ref="F565:F566"/>
    <mergeCell ref="C559:C560"/>
    <mergeCell ref="D559:D560"/>
    <mergeCell ref="E559:E560"/>
    <mergeCell ref="F559:F560"/>
    <mergeCell ref="C561:C562"/>
    <mergeCell ref="D561:D562"/>
    <mergeCell ref="E561:E562"/>
    <mergeCell ref="F561:F562"/>
    <mergeCell ref="C571:C572"/>
    <mergeCell ref="D571:D572"/>
    <mergeCell ref="E571:E572"/>
    <mergeCell ref="F571:F572"/>
    <mergeCell ref="C573:C574"/>
    <mergeCell ref="D573:D574"/>
    <mergeCell ref="E573:E574"/>
    <mergeCell ref="F573:F574"/>
    <mergeCell ref="C567:C568"/>
    <mergeCell ref="D567:D568"/>
    <mergeCell ref="E567:E568"/>
    <mergeCell ref="F567:F568"/>
    <mergeCell ref="C569:C570"/>
    <mergeCell ref="D569:D570"/>
    <mergeCell ref="E569:E570"/>
    <mergeCell ref="F569:F570"/>
    <mergeCell ref="C579:C580"/>
    <mergeCell ref="D579:D580"/>
    <mergeCell ref="E579:E580"/>
    <mergeCell ref="F579:F580"/>
    <mergeCell ref="C581:C582"/>
    <mergeCell ref="D581:D582"/>
    <mergeCell ref="E581:E582"/>
    <mergeCell ref="F581:F582"/>
    <mergeCell ref="C575:C576"/>
    <mergeCell ref="D575:D576"/>
    <mergeCell ref="E575:E576"/>
    <mergeCell ref="F575:F576"/>
    <mergeCell ref="C577:C578"/>
    <mergeCell ref="D577:D578"/>
    <mergeCell ref="E577:E578"/>
    <mergeCell ref="F577:F578"/>
    <mergeCell ref="C587:C588"/>
    <mergeCell ref="D587:D588"/>
    <mergeCell ref="E587:E588"/>
    <mergeCell ref="F587:F588"/>
    <mergeCell ref="C589:C590"/>
    <mergeCell ref="D589:D590"/>
    <mergeCell ref="E589:E590"/>
    <mergeCell ref="F589:F590"/>
    <mergeCell ref="C583:C584"/>
    <mergeCell ref="D583:D584"/>
    <mergeCell ref="E583:E584"/>
    <mergeCell ref="F583:F584"/>
    <mergeCell ref="C585:C586"/>
    <mergeCell ref="D585:D586"/>
    <mergeCell ref="E585:E586"/>
    <mergeCell ref="F585:F586"/>
    <mergeCell ref="C595:C596"/>
    <mergeCell ref="D595:D596"/>
    <mergeCell ref="E595:E596"/>
    <mergeCell ref="F595:F596"/>
    <mergeCell ref="C597:C598"/>
    <mergeCell ref="D597:D598"/>
    <mergeCell ref="E597:E598"/>
    <mergeCell ref="F597:F598"/>
    <mergeCell ref="C591:C592"/>
    <mergeCell ref="D591:D592"/>
    <mergeCell ref="E591:E592"/>
    <mergeCell ref="F591:F592"/>
    <mergeCell ref="C593:C594"/>
    <mergeCell ref="D593:D594"/>
    <mergeCell ref="E593:E594"/>
    <mergeCell ref="F593:F594"/>
    <mergeCell ref="C603:C604"/>
    <mergeCell ref="D603:D604"/>
    <mergeCell ref="E603:E604"/>
    <mergeCell ref="F603:F604"/>
    <mergeCell ref="C605:C606"/>
    <mergeCell ref="D605:D606"/>
    <mergeCell ref="E605:E606"/>
    <mergeCell ref="F605:F606"/>
    <mergeCell ref="C599:C600"/>
    <mergeCell ref="D599:D600"/>
    <mergeCell ref="E599:E600"/>
    <mergeCell ref="F599:F600"/>
    <mergeCell ref="C601:C602"/>
    <mergeCell ref="D601:D602"/>
    <mergeCell ref="E601:E602"/>
    <mergeCell ref="F601:F602"/>
    <mergeCell ref="C623:C624"/>
    <mergeCell ref="D623:D624"/>
    <mergeCell ref="E623:E624"/>
    <mergeCell ref="F623:F624"/>
    <mergeCell ref="C625:C626"/>
    <mergeCell ref="D625:D626"/>
    <mergeCell ref="E625:E626"/>
    <mergeCell ref="F625:F626"/>
    <mergeCell ref="C611:C612"/>
    <mergeCell ref="D611:D612"/>
    <mergeCell ref="E611:E612"/>
    <mergeCell ref="F611:F612"/>
    <mergeCell ref="C613:C614"/>
    <mergeCell ref="D613:D614"/>
    <mergeCell ref="E613:E614"/>
    <mergeCell ref="F613:F614"/>
    <mergeCell ref="C607:C608"/>
    <mergeCell ref="D607:D608"/>
    <mergeCell ref="E607:E608"/>
    <mergeCell ref="F607:F608"/>
    <mergeCell ref="C609:C610"/>
    <mergeCell ref="D609:D610"/>
    <mergeCell ref="E609:E610"/>
    <mergeCell ref="F609:F610"/>
    <mergeCell ref="C619:C620"/>
    <mergeCell ref="D619:D620"/>
    <mergeCell ref="E619:E620"/>
    <mergeCell ref="F619:F620"/>
    <mergeCell ref="C635:C636"/>
    <mergeCell ref="D635:D636"/>
    <mergeCell ref="E635:E636"/>
    <mergeCell ref="F635:F636"/>
    <mergeCell ref="C631:C632"/>
    <mergeCell ref="D631:D632"/>
    <mergeCell ref="E631:E632"/>
    <mergeCell ref="F631:F632"/>
    <mergeCell ref="C633:C634"/>
    <mergeCell ref="D633:D634"/>
    <mergeCell ref="E633:E634"/>
    <mergeCell ref="F633:F634"/>
    <mergeCell ref="C621:C622"/>
    <mergeCell ref="D621:D622"/>
    <mergeCell ref="E621:E622"/>
    <mergeCell ref="F621:F622"/>
    <mergeCell ref="C615:C616"/>
    <mergeCell ref="D615:D616"/>
    <mergeCell ref="E615:E616"/>
    <mergeCell ref="F615:F616"/>
    <mergeCell ref="C617:C618"/>
    <mergeCell ref="D617:D618"/>
    <mergeCell ref="E617:E618"/>
    <mergeCell ref="F617:F618"/>
    <mergeCell ref="C627:C628"/>
    <mergeCell ref="D627:D628"/>
    <mergeCell ref="E627:E628"/>
    <mergeCell ref="F627:F628"/>
    <mergeCell ref="C629:C630"/>
    <mergeCell ref="D629:D630"/>
    <mergeCell ref="E629:E630"/>
    <mergeCell ref="F629:F630"/>
  </mergeCells>
  <conditionalFormatting sqref="A1:F325 A508:F1048576 A507:B507 D507:F507 A464:F506 A452:B463 D452:F463 A450:F451 A438:B449 D438:F449 A436:F437 A424:B435 D424:F435 A422:F423 A410:B421 D410:F421 A408:F409 A396:B407 D396:F407 A394:F395 A382:B393 D382:F393 A380:F381 A368:B379 D368:F379 A366:F367 A354:B365 D354:F365 A352:F353 A340:B351 D340:F351 A338:F339 A326:B337 D326:F337">
    <cfRule type="cellIs" dxfId="10" priority="11" operator="equal">
      <formula>"N/A"</formula>
    </cfRule>
  </conditionalFormatting>
  <conditionalFormatting sqref="C452:C463">
    <cfRule type="cellIs" dxfId="9" priority="10" operator="equal">
      <formula>"N/A"</formula>
    </cfRule>
  </conditionalFormatting>
  <conditionalFormatting sqref="C438:C449">
    <cfRule type="cellIs" dxfId="8" priority="9" operator="equal">
      <formula>"N/A"</formula>
    </cfRule>
  </conditionalFormatting>
  <conditionalFormatting sqref="C424:C435">
    <cfRule type="cellIs" dxfId="7" priority="8" operator="equal">
      <formula>"N/A"</formula>
    </cfRule>
  </conditionalFormatting>
  <conditionalFormatting sqref="C410:C421">
    <cfRule type="cellIs" dxfId="6" priority="7" operator="equal">
      <formula>"N/A"</formula>
    </cfRule>
  </conditionalFormatting>
  <conditionalFormatting sqref="C396:C407">
    <cfRule type="cellIs" dxfId="5" priority="6" operator="equal">
      <formula>"N/A"</formula>
    </cfRule>
  </conditionalFormatting>
  <conditionalFormatting sqref="C382:C393">
    <cfRule type="cellIs" dxfId="4" priority="5" operator="equal">
      <formula>"N/A"</formula>
    </cfRule>
  </conditionalFormatting>
  <conditionalFormatting sqref="C368:C379">
    <cfRule type="cellIs" dxfId="3" priority="4" operator="equal">
      <formula>"N/A"</formula>
    </cfRule>
  </conditionalFormatting>
  <conditionalFormatting sqref="C354:C365">
    <cfRule type="cellIs" dxfId="2" priority="3" operator="equal">
      <formula>"N/A"</formula>
    </cfRule>
  </conditionalFormatting>
  <conditionalFormatting sqref="C340:C351">
    <cfRule type="cellIs" dxfId="1" priority="2" operator="equal">
      <formula>"N/A"</formula>
    </cfRule>
  </conditionalFormatting>
  <conditionalFormatting sqref="C326:C337">
    <cfRule type="cellIs" dxfId="0" priority="1" operator="equal">
      <formula>"N/A"</formula>
    </cfRule>
  </conditionalFormatting>
  <pageMargins left="0.7" right="0.7" top="0.75" bottom="0.75" header="0.3" footer="0.3"/>
  <pageSetup paperSize="9" scale="61" orientation="portrait" r:id="rId1"/>
  <rowBreaks count="12" manualBreakCount="12">
    <brk id="67" max="5" man="1"/>
    <brk id="131" max="5" man="1"/>
    <brk id="195" max="5" man="1"/>
    <brk id="259" max="5" man="1"/>
    <brk id="323" max="5" man="1"/>
    <brk id="379" max="5" man="1"/>
    <brk id="435" max="5" man="1"/>
    <brk id="508" max="5" man="1"/>
    <brk id="572" max="5" man="1"/>
    <brk id="636" max="5" man="1"/>
    <brk id="700" max="5" man="1"/>
    <brk id="764" max="5" man="1"/>
  </rowBreaks>
  <colBreaks count="1" manualBreakCount="1">
    <brk id="6" max="1048575" man="1"/>
  </colBrea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TB_IO</vt:lpstr>
      <vt:lpstr>16 bit registers</vt:lpstr>
      <vt:lpstr>32 bit registers</vt:lpstr>
      <vt:lpstr>32 bit registers!Print_Area</vt:lpstr>
      <vt:lpstr>TB_IO!Print_Area</vt:lpstr>
      <vt:lpstr>TB_NO</vt:lpstr>
    </vt:vector>
  </TitlesOfParts>
  <Company>HOERBIGER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Miller</dc:creator>
  <cp:lastModifiedBy>SHIRALI</cp:lastModifiedBy>
  <cp:lastPrinted>2023-12-29T08:02:45Z</cp:lastPrinted>
  <dcterms:created xsi:type="dcterms:W3CDTF">2023-08-15T14:36:49Z</dcterms:created>
  <dcterms:modified xsi:type="dcterms:W3CDTF">2025-07-28T15:49:50Z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97f68a-b99a-416a-bf70-2bc798220592_Enabled">
    <vt:lpwstr>true</vt:lpwstr>
  </property>
  <property fmtid="{D5CDD505-2E9C-101B-9397-08002B2CF9AE}" pid="3" name="MSIP_Label_0f97f68a-b99a-416a-bf70-2bc798220592_SetDate">
    <vt:lpwstr>2023-08-15T14:40:37Z</vt:lpwstr>
  </property>
  <property fmtid="{D5CDD505-2E9C-101B-9397-08002B2CF9AE}" pid="4" name="MSIP_Label_0f97f68a-b99a-416a-bf70-2bc798220592_Method">
    <vt:lpwstr>Standard</vt:lpwstr>
  </property>
  <property fmtid="{D5CDD505-2E9C-101B-9397-08002B2CF9AE}" pid="5" name="MSIP_Label_0f97f68a-b99a-416a-bf70-2bc798220592_Name">
    <vt:lpwstr>Non-Confidential</vt:lpwstr>
  </property>
  <property fmtid="{D5CDD505-2E9C-101B-9397-08002B2CF9AE}" pid="6" name="MSIP_Label_0f97f68a-b99a-416a-bf70-2bc798220592_SiteId">
    <vt:lpwstr>f1a83131-973f-4a13-8a50-096e0414cef0</vt:lpwstr>
  </property>
  <property fmtid="{D5CDD505-2E9C-101B-9397-08002B2CF9AE}" pid="7" name="MSIP_Label_0f97f68a-b99a-416a-bf70-2bc798220592_ActionId">
    <vt:lpwstr>d61dfe8e-e5e1-4438-970c-09f8b6b7252a</vt:lpwstr>
  </property>
  <property fmtid="{D5CDD505-2E9C-101B-9397-08002B2CF9AE}" pid="8" name="MSIP_Label_0f97f68a-b99a-416a-bf70-2bc798220592_ContentBits">
    <vt:lpwstr>0</vt:lpwstr>
  </property>
</Properties>
</file>